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8_{D75FCEA8-0F30-4251-89CE-6EFE7A3CE459}" xr6:coauthVersionLast="47" xr6:coauthVersionMax="47" xr10:uidLastSave="{00000000-0000-0000-0000-000000000000}"/>
  <bookViews>
    <workbookView xWindow="-110" yWindow="-110" windowWidth="19420" windowHeight="11020" xr2:uid="{1F750C79-8012-446F-80D4-2BE650A14CB8}"/>
  </bookViews>
  <sheets>
    <sheet name="SOAL 1" sheetId="1" r:id="rId1"/>
    <sheet name="SOA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O46" i="1"/>
  <c r="O45" i="1"/>
  <c r="S43" i="1"/>
  <c r="S44" i="1" s="1"/>
  <c r="O43" i="1"/>
  <c r="O53" i="1" s="1"/>
  <c r="U42" i="1"/>
  <c r="U43" i="1" s="1"/>
  <c r="T43" i="1" s="1"/>
  <c r="D20" i="2"/>
  <c r="D19" i="2"/>
  <c r="T39" i="2"/>
  <c r="N34" i="2"/>
  <c r="N32" i="2"/>
  <c r="R30" i="2"/>
  <c r="R31" i="2" s="1"/>
  <c r="N30" i="2"/>
  <c r="N37" i="2" s="1"/>
  <c r="T29" i="2"/>
  <c r="T30" i="2" s="1"/>
  <c r="S30" i="2" s="1"/>
  <c r="S22" i="2"/>
  <c r="S18" i="2"/>
  <c r="P18" i="2"/>
  <c r="O18" i="2"/>
  <c r="Q17" i="2"/>
  <c r="T16" i="2"/>
  <c r="T15" i="2"/>
  <c r="N15" i="2"/>
  <c r="S14" i="2"/>
  <c r="P14" i="2"/>
  <c r="O14" i="2"/>
  <c r="Q13" i="2"/>
  <c r="T12" i="2"/>
  <c r="T11" i="2"/>
  <c r="N11" i="2"/>
  <c r="S10" i="2"/>
  <c r="P10" i="2"/>
  <c r="O10" i="2"/>
  <c r="Q9" i="2"/>
  <c r="T8" i="2"/>
  <c r="T7" i="2"/>
  <c r="N7" i="2"/>
  <c r="N20" i="2" s="1"/>
  <c r="T6" i="2"/>
  <c r="T32" i="1"/>
  <c r="T36" i="1" s="1"/>
  <c r="S32" i="1"/>
  <c r="Q32" i="1"/>
  <c r="R32" i="1" s="1"/>
  <c r="U30" i="1"/>
  <c r="T29" i="1"/>
  <c r="Q31" i="1" s="1"/>
  <c r="R31" i="1" s="1"/>
  <c r="S29" i="1"/>
  <c r="U29" i="1" s="1"/>
  <c r="Q29" i="1"/>
  <c r="R29" i="1" s="1"/>
  <c r="U27" i="1"/>
  <c r="U26" i="1"/>
  <c r="T25" i="1"/>
  <c r="Q28" i="1" s="1"/>
  <c r="R28" i="1" s="1"/>
  <c r="Q25" i="1"/>
  <c r="P25" i="1"/>
  <c r="S25" i="1" s="1"/>
  <c r="U25" i="1" s="1"/>
  <c r="Q24" i="1"/>
  <c r="R24" i="1" s="1"/>
  <c r="U23" i="1"/>
  <c r="U22" i="1"/>
  <c r="U21" i="1"/>
  <c r="U20" i="1"/>
  <c r="O20" i="1"/>
  <c r="U19" i="1"/>
  <c r="U18" i="1"/>
  <c r="T17" i="1"/>
  <c r="S17" i="1"/>
  <c r="U17" i="1" s="1"/>
  <c r="Q17" i="1"/>
  <c r="R17" i="1" s="1"/>
  <c r="U16" i="1"/>
  <c r="U15" i="1"/>
  <c r="U14" i="1"/>
  <c r="O14" i="1"/>
  <c r="U13" i="1"/>
  <c r="U12" i="1"/>
  <c r="O12" i="1"/>
  <c r="T11" i="1"/>
  <c r="S11" i="1"/>
  <c r="Q11" i="1"/>
  <c r="R11" i="1" s="1"/>
  <c r="Q10" i="1"/>
  <c r="R10" i="1" s="1"/>
  <c r="U9" i="1"/>
  <c r="U8" i="1"/>
  <c r="O8" i="1"/>
  <c r="O34" i="1" s="1"/>
  <c r="U7" i="1"/>
  <c r="S45" i="1" l="1"/>
  <c r="S46" i="1" s="1"/>
  <c r="S47" i="1" s="1"/>
  <c r="U44" i="1"/>
  <c r="U45" i="1" s="1"/>
  <c r="T44" i="1"/>
  <c r="Q44" i="1"/>
  <c r="R44" i="1" s="1"/>
  <c r="R25" i="1"/>
  <c r="R35" i="1" s="1"/>
  <c r="U11" i="1"/>
  <c r="R32" i="2"/>
  <c r="R33" i="2" s="1"/>
  <c r="S31" i="2"/>
  <c r="T31" i="2" s="1"/>
  <c r="T32" i="2" s="1"/>
  <c r="S32" i="2" s="1"/>
  <c r="P31" i="2"/>
  <c r="Q31" i="2" s="1"/>
  <c r="R18" i="2"/>
  <c r="Q18" i="2"/>
  <c r="Q14" i="2"/>
  <c r="R14" i="2"/>
  <c r="T14" i="2" s="1"/>
  <c r="R10" i="2"/>
  <c r="T10" i="2" s="1"/>
  <c r="Q10" i="2"/>
  <c r="Q21" i="2" s="1"/>
  <c r="S36" i="1"/>
  <c r="U36" i="1" s="1"/>
  <c r="U32" i="1"/>
  <c r="S48" i="1" l="1"/>
  <c r="S49" i="1" s="1"/>
  <c r="U46" i="1"/>
  <c r="T46" i="1" s="1"/>
  <c r="T45" i="1"/>
  <c r="R34" i="2"/>
  <c r="R35" i="2" s="1"/>
  <c r="S33" i="2"/>
  <c r="T33" i="2" s="1"/>
  <c r="T34" i="2" s="1"/>
  <c r="S34" i="2" s="1"/>
  <c r="P33" i="2"/>
  <c r="Q33" i="2" s="1"/>
  <c r="T18" i="2"/>
  <c r="T22" i="2" s="1"/>
  <c r="R22" i="2"/>
  <c r="S50" i="1" l="1"/>
  <c r="T47" i="1"/>
  <c r="U47" i="1" s="1"/>
  <c r="U48" i="1" s="1"/>
  <c r="T48" i="1" s="1"/>
  <c r="Q47" i="1"/>
  <c r="R47" i="1" s="1"/>
  <c r="S35" i="2"/>
  <c r="S39" i="2" s="1"/>
  <c r="P35" i="2"/>
  <c r="Q35" i="2" s="1"/>
  <c r="Q38" i="2" s="1"/>
  <c r="T35" i="2"/>
  <c r="R39" i="2"/>
  <c r="S51" i="1" l="1"/>
  <c r="T49" i="1"/>
  <c r="Q49" i="1"/>
  <c r="R49" i="1" s="1"/>
  <c r="S55" i="1" l="1"/>
  <c r="U49" i="1"/>
  <c r="Q50" i="1"/>
  <c r="R50" i="1" s="1"/>
  <c r="T50" i="1"/>
  <c r="U50" i="1" l="1"/>
  <c r="Q51" i="1"/>
  <c r="R51" i="1" s="1"/>
  <c r="R54" i="1" s="1"/>
  <c r="T51" i="1"/>
  <c r="U51" i="1" l="1"/>
  <c r="U55" i="1" s="1"/>
  <c r="T55" i="1"/>
</calcChain>
</file>

<file path=xl/sharedStrings.xml><?xml version="1.0" encoding="utf-8"?>
<sst xmlns="http://schemas.openxmlformats.org/spreadsheetml/2006/main" count="76" uniqueCount="20">
  <si>
    <t>TANGGAL</t>
  </si>
  <si>
    <t>pembelian</t>
  </si>
  <si>
    <t>harga pokok penjualan</t>
  </si>
  <si>
    <t>persediaan</t>
  </si>
  <si>
    <t>Unit</t>
  </si>
  <si>
    <t>harga unit</t>
  </si>
  <si>
    <t>total</t>
  </si>
  <si>
    <t>unit</t>
  </si>
  <si>
    <t>SALDO AWAL</t>
  </si>
  <si>
    <t xml:space="preserve"> </t>
  </si>
  <si>
    <t>Total Pembelian</t>
  </si>
  <si>
    <t>Total Penjualan</t>
  </si>
  <si>
    <t>Saldo Akhir</t>
  </si>
  <si>
    <t>1. FIFO</t>
  </si>
  <si>
    <t>Total Penjulan</t>
  </si>
  <si>
    <t>2.AVERAGE</t>
  </si>
  <si>
    <t>Harga Pokok Penjualan 26 April 2015</t>
  </si>
  <si>
    <t>1. HPP FIFO</t>
  </si>
  <si>
    <t>2. HPP Average</t>
  </si>
  <si>
    <t>2.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</si>
</sst>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&quot;Rp&quot;* #,##0_-;\-&quot;Rp&quot;* #,##0_-;_-&quot;Rp&quot;* &quot;-&quot;??_-;_-@_-"/>
    <numFmt numFmtId="165" formatCode="&quot;Rp&quot;#,##0"/>
    <numFmt numFmtId="166" formatCode="_-* #,##0_-;\-* #,##0_-;_-* &quot;-&quot;??_-;_-@_-"/>
  </numFmts>
  <fonts count="6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16" fontId="0" fillId="0" borderId="1" xfId="0" applyNumberFormat="1" applyBorder="1"/>
    <xf numFmtId="164" fontId="0" fillId="0" borderId="1" xfId="2" applyNumberFormat="1" applyFont="1" applyBorder="1"/>
    <xf numFmtId="164" fontId="0" fillId="0" borderId="1" xfId="2" applyNumberFormat="1" applyFont="1" applyFill="1" applyBorder="1"/>
    <xf numFmtId="164" fontId="3" fillId="0" borderId="1" xfId="0" applyNumberFormat="1" applyFont="1" applyBorder="1" applyAlignment="1">
      <alignment horizontal="right" vertical="top" wrapText="1" indent="1"/>
    </xf>
    <xf numFmtId="164" fontId="3" fillId="2" borderId="1" xfId="0" applyNumberFormat="1" applyFont="1" applyFill="1" applyBorder="1" applyAlignment="1">
      <alignment horizontal="right" vertical="top" wrapText="1" indent="1"/>
    </xf>
    <xf numFmtId="15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165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1" xfId="2" applyNumberFormat="1" applyFont="1" applyBorder="1"/>
    <xf numFmtId="164" fontId="0" fillId="0" borderId="1" xfId="1" applyNumberFormat="1" applyFont="1" applyFill="1" applyBorder="1"/>
    <xf numFmtId="165" fontId="0" fillId="0" borderId="1" xfId="0" applyNumberFormat="1" applyBorder="1"/>
    <xf numFmtId="164" fontId="0" fillId="0" borderId="1" xfId="1" applyNumberFormat="1" applyFont="1" applyBorder="1"/>
    <xf numFmtId="164" fontId="3" fillId="0" borderId="1" xfId="1" applyNumberFormat="1" applyFont="1" applyBorder="1" applyAlignment="1">
      <alignment horizontal="right" vertical="top" wrapText="1" indent="1"/>
    </xf>
    <xf numFmtId="164" fontId="0" fillId="0" borderId="0" xfId="1" applyNumberFormat="1" applyFont="1" applyBorder="1"/>
    <xf numFmtId="166" fontId="3" fillId="0" borderId="1" xfId="1" applyNumberFormat="1" applyFont="1" applyBorder="1" applyAlignment="1">
      <alignment horizontal="right" vertical="top" wrapText="1" indent="1"/>
    </xf>
    <xf numFmtId="0" fontId="0" fillId="0" borderId="2" xfId="0" applyBorder="1"/>
    <xf numFmtId="165" fontId="0" fillId="0" borderId="2" xfId="0" applyNumberFormat="1" applyBorder="1"/>
    <xf numFmtId="164" fontId="0" fillId="0" borderId="2" xfId="1" applyNumberFormat="1" applyFont="1" applyBorder="1"/>
    <xf numFmtId="164" fontId="0" fillId="0" borderId="2" xfId="0" applyNumberFormat="1" applyBorder="1"/>
    <xf numFmtId="0" fontId="4" fillId="4" borderId="2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165" fontId="4" fillId="4" borderId="7" xfId="0" applyNumberFormat="1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164" fontId="4" fillId="4" borderId="7" xfId="0" applyNumberFormat="1" applyFont="1" applyFill="1" applyBorder="1" applyAlignment="1">
      <alignment horizontal="center"/>
    </xf>
    <xf numFmtId="0" fontId="0" fillId="5" borderId="1" xfId="0" applyFill="1" applyBorder="1"/>
    <xf numFmtId="165" fontId="0" fillId="5" borderId="1" xfId="0" applyNumberFormat="1" applyFill="1" applyBorder="1"/>
    <xf numFmtId="164" fontId="0" fillId="5" borderId="1" xfId="1" applyNumberFormat="1" applyFont="1" applyFill="1" applyBorder="1"/>
    <xf numFmtId="164" fontId="0" fillId="5" borderId="1" xfId="0" applyNumberFormat="1" applyFill="1" applyBorder="1"/>
    <xf numFmtId="0" fontId="2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/>
    <xf numFmtId="164" fontId="2" fillId="5" borderId="1" xfId="1" applyNumberFormat="1" applyFont="1" applyFill="1" applyBorder="1"/>
    <xf numFmtId="164" fontId="2" fillId="5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164" fontId="0" fillId="3" borderId="0" xfId="0" applyNumberFormat="1" applyFill="1"/>
    <xf numFmtId="0" fontId="0" fillId="5" borderId="1" xfId="0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right" vertical="top" wrapText="1" indent="1"/>
    </xf>
    <xf numFmtId="166" fontId="0" fillId="0" borderId="1" xfId="1" applyNumberFormat="1" applyFont="1" applyBorder="1"/>
    <xf numFmtId="166" fontId="0" fillId="5" borderId="1" xfId="1" applyNumberFormat="1" applyFont="1" applyFill="1" applyBorder="1"/>
    <xf numFmtId="0" fontId="2" fillId="5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5" fontId="2" fillId="5" borderId="1" xfId="0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381819</xdr:colOff>
      <xdr:row>19</xdr:row>
      <xdr:rowOff>146518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7E7AF-5519-4D45-A33E-69ADEBC7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5868219" cy="3277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608564</xdr:colOff>
      <xdr:row>14</xdr:row>
      <xdr:rowOff>23649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5970E-0093-4A45-835B-17FE2FF0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5147380" cy="223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709B-0FF3-4781-974E-E52524A2FB40}">
  <dimension ref="L4:U55"/>
  <sheetViews>
    <sheetView tabSelected="1" topLeftCell="L29" zoomScale="65" workbookViewId="0">
      <selection activeCell="R48" sqref="R48"/>
    </sheetView>
  </sheetViews>
  <sheetFormatPr defaultRowHeight="14.5" x14ac:dyDescent="0.35"/>
  <cols>
    <col min="12" max="12" width="14.7265625" customWidth="1"/>
    <col min="13" max="13" width="5.1796875" customWidth="1"/>
    <col min="14" max="14" width="14.7265625" customWidth="1"/>
    <col min="15" max="15" width="20.453125" customWidth="1"/>
    <col min="16" max="16" width="7.26953125" customWidth="1"/>
    <col min="17" max="17" width="14.81640625" customWidth="1"/>
    <col min="18" max="18" width="16.36328125" customWidth="1"/>
    <col min="19" max="19" width="7.7265625" customWidth="1"/>
    <col min="20" max="20" width="16.453125" customWidth="1"/>
    <col min="21" max="21" width="14.7265625" customWidth="1"/>
  </cols>
  <sheetData>
    <row r="4" spans="12:21" x14ac:dyDescent="0.35">
      <c r="L4" s="36" t="s">
        <v>13</v>
      </c>
    </row>
    <row r="5" spans="12:21" x14ac:dyDescent="0.35">
      <c r="L5" s="24" t="s">
        <v>0</v>
      </c>
      <c r="M5" s="54" t="s">
        <v>1</v>
      </c>
      <c r="N5" s="55"/>
      <c r="O5" s="56"/>
      <c r="P5" s="54" t="s">
        <v>2</v>
      </c>
      <c r="Q5" s="56"/>
      <c r="R5" s="27"/>
      <c r="S5" s="26" t="s">
        <v>3</v>
      </c>
      <c r="T5" s="27"/>
      <c r="U5" s="27"/>
    </row>
    <row r="6" spans="12:21" x14ac:dyDescent="0.35">
      <c r="L6" s="28"/>
      <c r="M6" s="29" t="s">
        <v>4</v>
      </c>
      <c r="N6" s="37" t="s">
        <v>5</v>
      </c>
      <c r="O6" s="34" t="s">
        <v>6</v>
      </c>
      <c r="P6" s="32" t="s">
        <v>7</v>
      </c>
      <c r="Q6" s="34" t="s">
        <v>5</v>
      </c>
      <c r="R6" s="34" t="s">
        <v>6</v>
      </c>
      <c r="S6" s="29" t="s">
        <v>7</v>
      </c>
      <c r="T6" s="34" t="s">
        <v>5</v>
      </c>
      <c r="U6" s="34" t="s">
        <v>6</v>
      </c>
    </row>
    <row r="7" spans="12:21" x14ac:dyDescent="0.35">
      <c r="L7" s="9">
        <v>43952</v>
      </c>
      <c r="M7" s="1" t="s">
        <v>8</v>
      </c>
      <c r="N7" s="3"/>
      <c r="O7" s="3"/>
      <c r="P7" s="1"/>
      <c r="Q7" s="4"/>
      <c r="R7" s="4"/>
      <c r="S7" s="1">
        <v>500</v>
      </c>
      <c r="T7" s="5">
        <v>6000</v>
      </c>
      <c r="U7" s="4">
        <f>S7*T7</f>
        <v>3000000</v>
      </c>
    </row>
    <row r="8" spans="12:21" x14ac:dyDescent="0.35">
      <c r="L8" s="9">
        <v>43954</v>
      </c>
      <c r="M8" s="1">
        <v>1200</v>
      </c>
      <c r="N8" s="6">
        <v>6500</v>
      </c>
      <c r="O8" s="3">
        <f>M8*N8</f>
        <v>7800000</v>
      </c>
      <c r="P8" s="1"/>
      <c r="Q8" s="4"/>
      <c r="R8" s="4"/>
      <c r="S8" s="1">
        <v>500</v>
      </c>
      <c r="T8" s="5">
        <v>6000</v>
      </c>
      <c r="U8" s="4">
        <f>S8*T8</f>
        <v>3000000</v>
      </c>
    </row>
    <row r="9" spans="12:21" x14ac:dyDescent="0.35">
      <c r="L9" s="9"/>
      <c r="M9" s="1"/>
      <c r="N9" s="3"/>
      <c r="O9" s="3"/>
      <c r="P9" s="1"/>
      <c r="Q9" s="4"/>
      <c r="R9" s="4"/>
      <c r="S9" s="1">
        <v>1200</v>
      </c>
      <c r="T9" s="6">
        <v>6500</v>
      </c>
      <c r="U9" s="3">
        <f>S9*T9</f>
        <v>7800000</v>
      </c>
    </row>
    <row r="10" spans="12:21" x14ac:dyDescent="0.35">
      <c r="L10" s="9">
        <v>43956</v>
      </c>
      <c r="M10" s="1"/>
      <c r="N10" s="8"/>
      <c r="O10" s="8"/>
      <c r="P10" s="1">
        <v>500</v>
      </c>
      <c r="Q10" s="8">
        <f>T8</f>
        <v>6000</v>
      </c>
      <c r="R10" s="8">
        <f>P10*Q10</f>
        <v>3000000</v>
      </c>
      <c r="S10" s="1"/>
      <c r="T10" s="8"/>
      <c r="U10" s="8"/>
    </row>
    <row r="11" spans="12:21" x14ac:dyDescent="0.35">
      <c r="L11" s="9"/>
      <c r="M11" s="1"/>
      <c r="N11" s="8"/>
      <c r="O11" s="8"/>
      <c r="P11" s="1">
        <v>200</v>
      </c>
      <c r="Q11" s="8">
        <f>T9</f>
        <v>6500</v>
      </c>
      <c r="R11" s="8">
        <f>P11*Q11</f>
        <v>1300000</v>
      </c>
      <c r="S11" s="1">
        <f>S9-P11</f>
        <v>1000</v>
      </c>
      <c r="T11" s="8">
        <f>T9</f>
        <v>6500</v>
      </c>
      <c r="U11" s="8">
        <f t="shared" ref="U11:U23" si="0">S11*T11</f>
        <v>6500000</v>
      </c>
    </row>
    <row r="12" spans="12:21" x14ac:dyDescent="0.35">
      <c r="L12" s="9">
        <v>43960</v>
      </c>
      <c r="M12" s="1">
        <v>600</v>
      </c>
      <c r="N12" s="8">
        <v>7300</v>
      </c>
      <c r="O12" s="8">
        <f>M12*N12</f>
        <v>4380000</v>
      </c>
      <c r="P12" s="1"/>
      <c r="Q12" s="8"/>
      <c r="R12" s="8"/>
      <c r="S12" s="1">
        <v>1000</v>
      </c>
      <c r="T12" s="8">
        <v>6500</v>
      </c>
      <c r="U12" s="8">
        <f t="shared" si="0"/>
        <v>6500000</v>
      </c>
    </row>
    <row r="13" spans="12:21" x14ac:dyDescent="0.35">
      <c r="L13" s="9"/>
      <c r="M13" s="1"/>
      <c r="N13" s="8" t="s">
        <v>9</v>
      </c>
      <c r="O13" s="8"/>
      <c r="P13" s="1"/>
      <c r="Q13" s="8"/>
      <c r="R13" s="8"/>
      <c r="S13" s="1">
        <v>600</v>
      </c>
      <c r="T13" s="8">
        <v>7300</v>
      </c>
      <c r="U13" s="8">
        <f t="shared" si="0"/>
        <v>4380000</v>
      </c>
    </row>
    <row r="14" spans="12:21" x14ac:dyDescent="0.35">
      <c r="L14" s="9">
        <v>43966</v>
      </c>
      <c r="M14" s="1">
        <v>900</v>
      </c>
      <c r="N14" s="8">
        <v>7100</v>
      </c>
      <c r="O14" s="8">
        <f>M14*N14</f>
        <v>6390000</v>
      </c>
      <c r="P14" s="1"/>
      <c r="Q14" s="8"/>
      <c r="R14" s="8"/>
      <c r="S14" s="1">
        <v>1000</v>
      </c>
      <c r="T14" s="8">
        <v>6500</v>
      </c>
      <c r="U14" s="8">
        <f t="shared" si="0"/>
        <v>6500000</v>
      </c>
    </row>
    <row r="15" spans="12:21" x14ac:dyDescent="0.35">
      <c r="L15" s="9"/>
      <c r="M15" s="1"/>
      <c r="N15" s="8"/>
      <c r="O15" s="8"/>
      <c r="P15" s="1"/>
      <c r="Q15" s="8"/>
      <c r="R15" s="8"/>
      <c r="S15" s="1">
        <v>600</v>
      </c>
      <c r="T15" s="8">
        <v>7300</v>
      </c>
      <c r="U15" s="8">
        <f t="shared" si="0"/>
        <v>4380000</v>
      </c>
    </row>
    <row r="16" spans="12:21" x14ac:dyDescent="0.35">
      <c r="L16" s="9"/>
      <c r="M16" s="1"/>
      <c r="N16" s="8"/>
      <c r="O16" s="8"/>
      <c r="P16" s="1"/>
      <c r="Q16" s="8"/>
      <c r="R16" s="8"/>
      <c r="S16" s="1">
        <v>900</v>
      </c>
      <c r="T16" s="8">
        <v>7100</v>
      </c>
      <c r="U16" s="8">
        <f t="shared" si="0"/>
        <v>6390000</v>
      </c>
    </row>
    <row r="17" spans="12:21" x14ac:dyDescent="0.35">
      <c r="L17" s="9">
        <v>43968</v>
      </c>
      <c r="M17" s="1"/>
      <c r="N17" s="8"/>
      <c r="O17" s="8"/>
      <c r="P17" s="1">
        <v>850</v>
      </c>
      <c r="Q17" s="8">
        <f>T14</f>
        <v>6500</v>
      </c>
      <c r="R17" s="8">
        <f>P17*Q17</f>
        <v>5525000</v>
      </c>
      <c r="S17" s="1">
        <f>S14-P17</f>
        <v>150</v>
      </c>
      <c r="T17" s="8">
        <f>T14</f>
        <v>6500</v>
      </c>
      <c r="U17" s="8">
        <f t="shared" si="0"/>
        <v>975000</v>
      </c>
    </row>
    <row r="18" spans="12:21" x14ac:dyDescent="0.35">
      <c r="L18" s="9"/>
      <c r="M18" s="1"/>
      <c r="N18" s="8"/>
      <c r="O18" s="8"/>
      <c r="P18" s="1"/>
      <c r="Q18" s="8"/>
      <c r="R18" s="8"/>
      <c r="S18" s="1">
        <v>600</v>
      </c>
      <c r="T18" s="8">
        <v>7300</v>
      </c>
      <c r="U18" s="8">
        <f t="shared" si="0"/>
        <v>4380000</v>
      </c>
    </row>
    <row r="19" spans="12:21" x14ac:dyDescent="0.35">
      <c r="L19" s="9"/>
      <c r="M19" s="1"/>
      <c r="N19" s="8"/>
      <c r="O19" s="8"/>
      <c r="P19" s="1"/>
      <c r="Q19" s="8"/>
      <c r="R19" s="8"/>
      <c r="S19" s="1">
        <v>900</v>
      </c>
      <c r="T19" s="8">
        <v>7100</v>
      </c>
      <c r="U19" s="8">
        <f t="shared" si="0"/>
        <v>6390000</v>
      </c>
    </row>
    <row r="20" spans="12:21" x14ac:dyDescent="0.35">
      <c r="L20" s="9">
        <v>43973</v>
      </c>
      <c r="M20" s="1">
        <v>950</v>
      </c>
      <c r="N20" s="8">
        <v>7600</v>
      </c>
      <c r="O20" s="8">
        <f>M20*N20</f>
        <v>7220000</v>
      </c>
      <c r="P20" s="1"/>
      <c r="Q20" s="8"/>
      <c r="R20" s="8"/>
      <c r="S20" s="1">
        <v>150</v>
      </c>
      <c r="T20" s="8">
        <v>6500</v>
      </c>
      <c r="U20" s="8">
        <f t="shared" si="0"/>
        <v>975000</v>
      </c>
    </row>
    <row r="21" spans="12:21" x14ac:dyDescent="0.35">
      <c r="L21" s="9"/>
      <c r="M21" s="1"/>
      <c r="N21" s="8"/>
      <c r="O21" s="8"/>
      <c r="P21" s="1"/>
      <c r="Q21" s="8"/>
      <c r="R21" s="8"/>
      <c r="S21" s="1">
        <v>600</v>
      </c>
      <c r="T21" s="8">
        <v>7300</v>
      </c>
      <c r="U21" s="8">
        <f t="shared" si="0"/>
        <v>4380000</v>
      </c>
    </row>
    <row r="22" spans="12:21" x14ac:dyDescent="0.35">
      <c r="L22" s="9"/>
      <c r="M22" s="1"/>
      <c r="N22" s="8"/>
      <c r="O22" s="8"/>
      <c r="P22" s="1"/>
      <c r="Q22" s="8"/>
      <c r="R22" s="8"/>
      <c r="S22" s="1">
        <v>900</v>
      </c>
      <c r="T22" s="8">
        <v>7100</v>
      </c>
      <c r="U22" s="8">
        <f t="shared" si="0"/>
        <v>6390000</v>
      </c>
    </row>
    <row r="23" spans="12:21" x14ac:dyDescent="0.35">
      <c r="L23" s="9"/>
      <c r="M23" s="1"/>
      <c r="N23" s="8"/>
      <c r="O23" s="8"/>
      <c r="P23" s="1"/>
      <c r="Q23" s="8"/>
      <c r="R23" s="8"/>
      <c r="S23" s="1">
        <v>950</v>
      </c>
      <c r="T23" s="8">
        <v>7600</v>
      </c>
      <c r="U23" s="8">
        <f t="shared" si="0"/>
        <v>7220000</v>
      </c>
    </row>
    <row r="24" spans="12:21" x14ac:dyDescent="0.35">
      <c r="L24" s="9">
        <v>43977</v>
      </c>
      <c r="M24" s="1"/>
      <c r="N24" s="8"/>
      <c r="O24" s="8"/>
      <c r="P24" s="1">
        <v>150</v>
      </c>
      <c r="Q24" s="8">
        <f>T20</f>
        <v>6500</v>
      </c>
      <c r="R24" s="8">
        <f>P24*Q24</f>
        <v>975000</v>
      </c>
      <c r="S24" s="1"/>
      <c r="T24" s="8"/>
      <c r="U24" s="8"/>
    </row>
    <row r="25" spans="12:21" x14ac:dyDescent="0.35">
      <c r="L25" s="9"/>
      <c r="M25" s="1"/>
      <c r="N25" s="8"/>
      <c r="O25" s="8"/>
      <c r="P25" s="1">
        <f>400-150</f>
        <v>250</v>
      </c>
      <c r="Q25" s="8">
        <f>T21</f>
        <v>7300</v>
      </c>
      <c r="R25" s="8">
        <f>P25*Q25</f>
        <v>1825000</v>
      </c>
      <c r="S25" s="1">
        <f>S21-P25</f>
        <v>350</v>
      </c>
      <c r="T25" s="8">
        <f>T21</f>
        <v>7300</v>
      </c>
      <c r="U25" s="8">
        <f>S25*T25</f>
        <v>2555000</v>
      </c>
    </row>
    <row r="26" spans="12:21" x14ac:dyDescent="0.35">
      <c r="L26" s="9"/>
      <c r="M26" s="1"/>
      <c r="N26" s="8"/>
      <c r="O26" s="8"/>
      <c r="P26" s="1"/>
      <c r="Q26" s="8"/>
      <c r="R26" s="8"/>
      <c r="S26" s="1">
        <v>900</v>
      </c>
      <c r="T26" s="8">
        <v>7100</v>
      </c>
      <c r="U26" s="8">
        <f>S26*T26</f>
        <v>6390000</v>
      </c>
    </row>
    <row r="27" spans="12:21" x14ac:dyDescent="0.35">
      <c r="L27" s="9"/>
      <c r="M27" s="1"/>
      <c r="N27" s="8"/>
      <c r="O27" s="8"/>
      <c r="P27" s="1"/>
      <c r="Q27" s="8"/>
      <c r="R27" s="8"/>
      <c r="S27" s="1">
        <v>950</v>
      </c>
      <c r="T27" s="8">
        <v>7600</v>
      </c>
      <c r="U27" s="8">
        <f>S27*T27</f>
        <v>7220000</v>
      </c>
    </row>
    <row r="28" spans="12:21" x14ac:dyDescent="0.35">
      <c r="L28" s="9">
        <v>43980</v>
      </c>
      <c r="M28" s="1"/>
      <c r="N28" s="8"/>
      <c r="O28" s="8"/>
      <c r="P28" s="1">
        <v>350</v>
      </c>
      <c r="Q28" s="8">
        <f>T25</f>
        <v>7300</v>
      </c>
      <c r="R28" s="8">
        <f>P28*Q28</f>
        <v>2555000</v>
      </c>
      <c r="S28" s="1"/>
      <c r="T28" s="8"/>
      <c r="U28" s="8"/>
    </row>
    <row r="29" spans="12:21" x14ac:dyDescent="0.35">
      <c r="L29" s="9"/>
      <c r="M29" s="1"/>
      <c r="N29" s="8"/>
      <c r="O29" s="8"/>
      <c r="P29" s="1">
        <v>850</v>
      </c>
      <c r="Q29" s="8">
        <f>T26</f>
        <v>7100</v>
      </c>
      <c r="R29" s="8">
        <f>P29*Q29</f>
        <v>6035000</v>
      </c>
      <c r="S29" s="1">
        <f>S26-P29</f>
        <v>50</v>
      </c>
      <c r="T29" s="8">
        <f>T26</f>
        <v>7100</v>
      </c>
      <c r="U29" s="8">
        <f>S29*T29</f>
        <v>355000</v>
      </c>
    </row>
    <row r="30" spans="12:21" x14ac:dyDescent="0.35">
      <c r="L30" s="9"/>
      <c r="M30" s="1"/>
      <c r="N30" s="8"/>
      <c r="O30" s="8"/>
      <c r="P30" s="1"/>
      <c r="Q30" s="8"/>
      <c r="R30" s="8"/>
      <c r="S30" s="1">
        <v>950</v>
      </c>
      <c r="T30" s="8">
        <v>7600</v>
      </c>
      <c r="U30" s="8">
        <f>S30*T30</f>
        <v>7220000</v>
      </c>
    </row>
    <row r="31" spans="12:21" x14ac:dyDescent="0.35">
      <c r="L31" s="9">
        <v>43982</v>
      </c>
      <c r="M31" s="1"/>
      <c r="N31" s="8"/>
      <c r="O31" s="8"/>
      <c r="P31" s="1">
        <v>50</v>
      </c>
      <c r="Q31" s="8">
        <f>T29</f>
        <v>7100</v>
      </c>
      <c r="R31" s="8">
        <f>P31*Q31</f>
        <v>355000</v>
      </c>
      <c r="S31" s="1"/>
      <c r="T31" s="8"/>
      <c r="U31" s="8"/>
    </row>
    <row r="32" spans="12:21" x14ac:dyDescent="0.35">
      <c r="L32" s="9"/>
      <c r="M32" s="1"/>
      <c r="N32" s="8"/>
      <c r="O32" s="8"/>
      <c r="P32" s="1">
        <v>300</v>
      </c>
      <c r="Q32" s="8">
        <f>T30</f>
        <v>7600</v>
      </c>
      <c r="R32" s="8">
        <f>P32*Q32</f>
        <v>2280000</v>
      </c>
      <c r="S32" s="1">
        <f>S30-P32</f>
        <v>650</v>
      </c>
      <c r="T32" s="8">
        <f>T30</f>
        <v>7600</v>
      </c>
      <c r="U32" s="8">
        <f>S32*T32</f>
        <v>4940000</v>
      </c>
    </row>
    <row r="33" spans="12:21" x14ac:dyDescent="0.35">
      <c r="L33" s="1"/>
      <c r="M33" s="1"/>
      <c r="N33" s="8"/>
      <c r="O33" s="8"/>
      <c r="P33" s="1"/>
      <c r="Q33" s="8"/>
      <c r="R33" s="8"/>
      <c r="S33" s="1"/>
      <c r="T33" s="8"/>
      <c r="U33" s="8"/>
    </row>
    <row r="34" spans="12:21" x14ac:dyDescent="0.35">
      <c r="L34" s="42" t="s">
        <v>10</v>
      </c>
      <c r="M34" s="49"/>
      <c r="N34" s="38"/>
      <c r="O34" s="45">
        <f>SUM(O7:O33)</f>
        <v>25790000</v>
      </c>
      <c r="P34" s="38"/>
      <c r="Q34" s="41"/>
      <c r="R34" s="41"/>
      <c r="S34" s="38"/>
      <c r="T34" s="41"/>
      <c r="U34" s="41"/>
    </row>
    <row r="35" spans="12:21" x14ac:dyDescent="0.35">
      <c r="L35" s="42" t="s">
        <v>11</v>
      </c>
      <c r="M35" s="49"/>
      <c r="N35" s="41"/>
      <c r="O35" s="41"/>
      <c r="P35" s="38"/>
      <c r="Q35" s="41"/>
      <c r="R35" s="45">
        <f>SUM(R7:R32)</f>
        <v>23850000</v>
      </c>
      <c r="S35" s="38"/>
      <c r="T35" s="41"/>
      <c r="U35" s="41"/>
    </row>
    <row r="36" spans="12:21" x14ac:dyDescent="0.35">
      <c r="L36" s="42" t="s">
        <v>12</v>
      </c>
      <c r="M36" s="49"/>
      <c r="N36" s="41"/>
      <c r="O36" s="41"/>
      <c r="P36" s="38"/>
      <c r="Q36" s="41"/>
      <c r="R36" s="41"/>
      <c r="S36" s="38">
        <f>S32</f>
        <v>650</v>
      </c>
      <c r="T36" s="41">
        <f>T32</f>
        <v>7600</v>
      </c>
      <c r="U36" s="45">
        <f>T36*S36</f>
        <v>4940000</v>
      </c>
    </row>
    <row r="39" spans="12:21" x14ac:dyDescent="0.35">
      <c r="L39" s="36" t="s">
        <v>19</v>
      </c>
      <c r="N39" s="12"/>
      <c r="O39" s="12"/>
      <c r="Q39" s="12"/>
      <c r="R39" s="12"/>
      <c r="T39" s="12"/>
      <c r="U39" s="12"/>
    </row>
    <row r="40" spans="12:21" x14ac:dyDescent="0.35">
      <c r="L40" s="24" t="s">
        <v>0</v>
      </c>
      <c r="M40" s="54" t="s">
        <v>1</v>
      </c>
      <c r="N40" s="55"/>
      <c r="O40" s="56"/>
      <c r="P40" s="54" t="s">
        <v>2</v>
      </c>
      <c r="Q40" s="56"/>
      <c r="R40" s="27"/>
      <c r="S40" s="26" t="s">
        <v>3</v>
      </c>
      <c r="T40" s="27"/>
      <c r="U40" s="27"/>
    </row>
    <row r="41" spans="12:21" x14ac:dyDescent="0.35">
      <c r="L41" s="28"/>
      <c r="M41" s="29" t="s">
        <v>4</v>
      </c>
      <c r="N41" s="37" t="s">
        <v>5</v>
      </c>
      <c r="O41" s="34" t="s">
        <v>6</v>
      </c>
      <c r="P41" s="32" t="s">
        <v>7</v>
      </c>
      <c r="Q41" s="34" t="s">
        <v>5</v>
      </c>
      <c r="R41" s="34" t="s">
        <v>6</v>
      </c>
      <c r="S41" s="29" t="s">
        <v>7</v>
      </c>
      <c r="T41" s="34" t="s">
        <v>5</v>
      </c>
      <c r="U41" s="34" t="s">
        <v>6</v>
      </c>
    </row>
    <row r="42" spans="12:21" x14ac:dyDescent="0.35">
      <c r="L42" s="9">
        <v>43952</v>
      </c>
      <c r="M42" s="1" t="s">
        <v>8</v>
      </c>
      <c r="N42" s="3"/>
      <c r="O42" s="3"/>
      <c r="P42" s="1"/>
      <c r="Q42" s="4"/>
      <c r="R42" s="4"/>
      <c r="S42" s="1">
        <v>500</v>
      </c>
      <c r="T42" s="19">
        <v>6000</v>
      </c>
      <c r="U42" s="4">
        <f>S42*T42</f>
        <v>3000000</v>
      </c>
    </row>
    <row r="43" spans="12:21" x14ac:dyDescent="0.35">
      <c r="L43" s="9">
        <v>43954</v>
      </c>
      <c r="M43" s="1">
        <v>1200</v>
      </c>
      <c r="N43" s="6">
        <v>6500</v>
      </c>
      <c r="O43" s="3">
        <f>M43*N43</f>
        <v>7800000</v>
      </c>
      <c r="P43" s="1"/>
      <c r="Q43" s="4"/>
      <c r="R43" s="4"/>
      <c r="S43" s="1">
        <f>S42+M43</f>
        <v>1700</v>
      </c>
      <c r="T43" s="19">
        <f>U43/S43</f>
        <v>6352.9411764705883</v>
      </c>
      <c r="U43" s="4">
        <f>U42+O43</f>
        <v>10800000</v>
      </c>
    </row>
    <row r="44" spans="12:21" x14ac:dyDescent="0.35">
      <c r="L44" s="9">
        <v>43956</v>
      </c>
      <c r="M44" s="1"/>
      <c r="N44" s="3"/>
      <c r="O44" s="3"/>
      <c r="P44" s="1">
        <v>700</v>
      </c>
      <c r="Q44" s="4">
        <f>T43</f>
        <v>6352.9411764705883</v>
      </c>
      <c r="R44" s="4">
        <f>P44*Q44</f>
        <v>4447058.823529412</v>
      </c>
      <c r="S44" s="1">
        <f>S43-P44</f>
        <v>1000</v>
      </c>
      <c r="T44" s="50">
        <f>T43</f>
        <v>6352.9411764705883</v>
      </c>
      <c r="U44" s="3">
        <f>S44*T44</f>
        <v>6352941.176470588</v>
      </c>
    </row>
    <row r="45" spans="12:21" x14ac:dyDescent="0.35">
      <c r="L45" s="9">
        <v>43960</v>
      </c>
      <c r="M45" s="1">
        <v>600</v>
      </c>
      <c r="N45" s="8">
        <v>7300</v>
      </c>
      <c r="O45" s="8">
        <f>M45*N45</f>
        <v>4380000</v>
      </c>
      <c r="P45" s="1"/>
      <c r="Q45" s="8"/>
      <c r="R45" s="8"/>
      <c r="S45" s="1">
        <f>S44+M45</f>
        <v>1600</v>
      </c>
      <c r="T45" s="51">
        <f>U45/S45</f>
        <v>6708.088235294118</v>
      </c>
      <c r="U45" s="8">
        <f>U44+O45</f>
        <v>10732941.176470589</v>
      </c>
    </row>
    <row r="46" spans="12:21" x14ac:dyDescent="0.35">
      <c r="L46" s="9">
        <v>43966</v>
      </c>
      <c r="M46" s="1">
        <v>900</v>
      </c>
      <c r="N46" s="8">
        <v>7100</v>
      </c>
      <c r="O46" s="8">
        <f>M46*N46</f>
        <v>6390000</v>
      </c>
      <c r="P46" s="1"/>
      <c r="Q46" s="8"/>
      <c r="R46" s="8"/>
      <c r="S46" s="1">
        <f>S45+M46</f>
        <v>2500</v>
      </c>
      <c r="T46" s="51">
        <f>U46/S46</f>
        <v>6849.1764705882351</v>
      </c>
      <c r="U46" s="8">
        <f>U45+O46</f>
        <v>17122941.176470589</v>
      </c>
    </row>
    <row r="47" spans="12:21" x14ac:dyDescent="0.35">
      <c r="L47" s="9">
        <v>43968</v>
      </c>
      <c r="M47" s="1"/>
      <c r="N47" s="8"/>
      <c r="O47" s="8"/>
      <c r="P47" s="1">
        <v>850</v>
      </c>
      <c r="Q47" s="8">
        <f>T46</f>
        <v>6849.1764705882351</v>
      </c>
      <c r="R47" s="8">
        <f>P47*Q47</f>
        <v>5821800</v>
      </c>
      <c r="S47" s="1">
        <f>S46-P47</f>
        <v>1650</v>
      </c>
      <c r="T47" s="51">
        <f>T46</f>
        <v>6849.1764705882351</v>
      </c>
      <c r="U47" s="8">
        <f>S47*T47</f>
        <v>11301141.176470589</v>
      </c>
    </row>
    <row r="48" spans="12:21" x14ac:dyDescent="0.35">
      <c r="L48" s="9">
        <v>43973</v>
      </c>
      <c r="M48" s="1">
        <v>950</v>
      </c>
      <c r="N48" s="8">
        <v>7600</v>
      </c>
      <c r="O48" s="8">
        <f>M48*N48</f>
        <v>7220000</v>
      </c>
      <c r="P48" s="1"/>
      <c r="Q48" s="8"/>
      <c r="R48" s="8"/>
      <c r="S48" s="1">
        <f>S47+M48</f>
        <v>2600</v>
      </c>
      <c r="T48" s="51">
        <f>U48/S48</f>
        <v>7123.5158371040725</v>
      </c>
      <c r="U48" s="8">
        <f>U47+O48</f>
        <v>18521141.176470589</v>
      </c>
    </row>
    <row r="49" spans="12:21" x14ac:dyDescent="0.35">
      <c r="L49" s="9">
        <v>43977</v>
      </c>
      <c r="M49" s="1"/>
      <c r="N49" s="8"/>
      <c r="O49" s="8"/>
      <c r="P49" s="1">
        <v>400</v>
      </c>
      <c r="Q49" s="8">
        <f>T48</f>
        <v>7123.5158371040725</v>
      </c>
      <c r="R49" s="8">
        <f>P49*Q49</f>
        <v>2849406.334841629</v>
      </c>
      <c r="S49" s="1">
        <f>S48-P49</f>
        <v>2200</v>
      </c>
      <c r="T49" s="51">
        <f>T48</f>
        <v>7123.5158371040725</v>
      </c>
      <c r="U49" s="8">
        <f>S49*T49</f>
        <v>15671734.841628959</v>
      </c>
    </row>
    <row r="50" spans="12:21" x14ac:dyDescent="0.35">
      <c r="L50" s="9">
        <v>43980</v>
      </c>
      <c r="M50" s="1"/>
      <c r="N50" s="8"/>
      <c r="O50" s="8"/>
      <c r="P50" s="1">
        <v>1200</v>
      </c>
      <c r="Q50" s="8">
        <f>T49</f>
        <v>7123.5158371040725</v>
      </c>
      <c r="R50" s="8">
        <f>P50*Q50</f>
        <v>8548219.0045248866</v>
      </c>
      <c r="S50" s="1">
        <f>S49-P50</f>
        <v>1000</v>
      </c>
      <c r="T50" s="51">
        <f>T49</f>
        <v>7123.5158371040725</v>
      </c>
      <c r="U50" s="8">
        <f>S50*T50</f>
        <v>7123515.8371040728</v>
      </c>
    </row>
    <row r="51" spans="12:21" x14ac:dyDescent="0.35">
      <c r="L51" s="9">
        <v>43982</v>
      </c>
      <c r="M51" s="1"/>
      <c r="N51" s="8"/>
      <c r="O51" s="8"/>
      <c r="P51" s="1">
        <v>350</v>
      </c>
      <c r="Q51" s="8">
        <f>T50</f>
        <v>7123.5158371040725</v>
      </c>
      <c r="R51" s="8">
        <f>P51*Q51</f>
        <v>2493230.5429864256</v>
      </c>
      <c r="S51" s="1">
        <f>S50-P51</f>
        <v>650</v>
      </c>
      <c r="T51" s="51">
        <f>T50</f>
        <v>7123.5158371040725</v>
      </c>
      <c r="U51" s="8">
        <f>S51*T51</f>
        <v>4630285.2941176472</v>
      </c>
    </row>
    <row r="52" spans="12:21" x14ac:dyDescent="0.35">
      <c r="L52" s="7"/>
      <c r="M52" s="1"/>
      <c r="N52" s="8"/>
      <c r="O52" s="8"/>
      <c r="P52" s="1"/>
      <c r="Q52" s="8"/>
      <c r="R52" s="8"/>
      <c r="S52" s="1"/>
      <c r="T52" s="51"/>
      <c r="U52" s="8"/>
    </row>
    <row r="53" spans="12:21" x14ac:dyDescent="0.35">
      <c r="L53" s="53" t="s">
        <v>10</v>
      </c>
      <c r="M53" s="53"/>
      <c r="N53" s="38"/>
      <c r="O53" s="45">
        <f>SUM(O42:O52)</f>
        <v>25790000</v>
      </c>
      <c r="P53" s="38"/>
      <c r="Q53" s="41"/>
      <c r="R53" s="41"/>
      <c r="S53" s="38"/>
      <c r="T53" s="52"/>
      <c r="U53" s="41"/>
    </row>
    <row r="54" spans="12:21" x14ac:dyDescent="0.35">
      <c r="L54" s="53" t="s">
        <v>11</v>
      </c>
      <c r="M54" s="53"/>
      <c r="N54" s="41"/>
      <c r="O54" s="41"/>
      <c r="P54" s="38"/>
      <c r="Q54" s="41"/>
      <c r="R54" s="45">
        <f>SUM(R42:R51)</f>
        <v>24159714.705882352</v>
      </c>
      <c r="S54" s="38"/>
      <c r="T54" s="52"/>
      <c r="U54" s="41"/>
    </row>
    <row r="55" spans="12:21" x14ac:dyDescent="0.35">
      <c r="L55" s="57" t="s">
        <v>12</v>
      </c>
      <c r="M55" s="57"/>
      <c r="N55" s="41"/>
      <c r="O55" s="41"/>
      <c r="P55" s="38"/>
      <c r="Q55" s="41"/>
      <c r="R55" s="41"/>
      <c r="S55" s="38">
        <f>S51</f>
        <v>650</v>
      </c>
      <c r="T55" s="52">
        <f>T51</f>
        <v>7123.5158371040725</v>
      </c>
      <c r="U55" s="45">
        <f>U51</f>
        <v>4630285.2941176472</v>
      </c>
    </row>
  </sheetData>
  <mergeCells count="7">
    <mergeCell ref="L53:M53"/>
    <mergeCell ref="L54:M54"/>
    <mergeCell ref="L55:M55"/>
    <mergeCell ref="M5:O5"/>
    <mergeCell ref="P5:Q5"/>
    <mergeCell ref="M40:O40"/>
    <mergeCell ref="P40:Q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5D76-074C-445C-91F9-B9CC75628756}">
  <dimension ref="B3:T40"/>
  <sheetViews>
    <sheetView topLeftCell="A2" zoomScale="62" workbookViewId="0">
      <selection activeCell="V25" sqref="V25"/>
    </sheetView>
  </sheetViews>
  <sheetFormatPr defaultRowHeight="14.5" x14ac:dyDescent="0.35"/>
  <cols>
    <col min="4" max="4" width="12.7265625" bestFit="1" customWidth="1"/>
    <col min="11" max="11" width="12.54296875" customWidth="1"/>
    <col min="14" max="14" width="11.6328125" customWidth="1"/>
    <col min="16" max="16" width="13.54296875" customWidth="1"/>
    <col min="17" max="17" width="13.08984375" customWidth="1"/>
    <col min="19" max="19" width="12.26953125" customWidth="1"/>
    <col min="20" max="20" width="16.7265625" customWidth="1"/>
  </cols>
  <sheetData>
    <row r="3" spans="11:20" x14ac:dyDescent="0.35">
      <c r="K3" s="36" t="s">
        <v>13</v>
      </c>
      <c r="M3" s="10"/>
      <c r="N3" s="10"/>
      <c r="P3" s="11"/>
      <c r="Q3" s="11"/>
      <c r="S3" s="12"/>
      <c r="T3" s="12"/>
    </row>
    <row r="4" spans="11:20" x14ac:dyDescent="0.35">
      <c r="K4" s="24" t="s">
        <v>0</v>
      </c>
      <c r="L4" s="54" t="s">
        <v>1</v>
      </c>
      <c r="M4" s="55"/>
      <c r="N4" s="56"/>
      <c r="O4" s="54" t="s">
        <v>2</v>
      </c>
      <c r="P4" s="56"/>
      <c r="Q4" s="25"/>
      <c r="R4" s="26" t="s">
        <v>3</v>
      </c>
      <c r="S4" s="27"/>
      <c r="T4" s="27"/>
    </row>
    <row r="5" spans="11:20" x14ac:dyDescent="0.35">
      <c r="K5" s="28"/>
      <c r="L5" s="29" t="s">
        <v>4</v>
      </c>
      <c r="M5" s="30" t="s">
        <v>5</v>
      </c>
      <c r="N5" s="31" t="s">
        <v>6</v>
      </c>
      <c r="O5" s="32" t="s">
        <v>7</v>
      </c>
      <c r="P5" s="33" t="s">
        <v>5</v>
      </c>
      <c r="Q5" s="33" t="s">
        <v>6</v>
      </c>
      <c r="R5" s="29" t="s">
        <v>7</v>
      </c>
      <c r="S5" s="34" t="s">
        <v>5</v>
      </c>
      <c r="T5" s="34" t="s">
        <v>6</v>
      </c>
    </row>
    <row r="6" spans="11:20" x14ac:dyDescent="0.35">
      <c r="K6" s="2">
        <v>43922</v>
      </c>
      <c r="L6" s="1" t="s">
        <v>8</v>
      </c>
      <c r="M6" s="13"/>
      <c r="N6" s="13"/>
      <c r="O6" s="1"/>
      <c r="P6" s="14"/>
      <c r="Q6" s="14"/>
      <c r="R6" s="1">
        <v>90</v>
      </c>
      <c r="S6" s="5">
        <v>4000</v>
      </c>
      <c r="T6" s="4">
        <f>R6*S6</f>
        <v>360000</v>
      </c>
    </row>
    <row r="7" spans="11:20" x14ac:dyDescent="0.35">
      <c r="K7" s="7">
        <v>43924</v>
      </c>
      <c r="L7" s="1">
        <v>210</v>
      </c>
      <c r="M7" s="15">
        <v>4250</v>
      </c>
      <c r="N7" s="15">
        <f>L7*M7</f>
        <v>892500</v>
      </c>
      <c r="O7" s="1"/>
      <c r="P7" s="16"/>
      <c r="Q7" s="16"/>
      <c r="R7" s="1">
        <v>90</v>
      </c>
      <c r="S7" s="5">
        <v>4000</v>
      </c>
      <c r="T7" s="4">
        <f>R7*S7</f>
        <v>360000</v>
      </c>
    </row>
    <row r="8" spans="11:20" x14ac:dyDescent="0.35">
      <c r="K8" s="1"/>
      <c r="L8" s="1"/>
      <c r="M8" s="15"/>
      <c r="N8" s="15"/>
      <c r="O8" s="1"/>
      <c r="P8" s="16"/>
      <c r="Q8" s="16"/>
      <c r="R8" s="1">
        <v>210</v>
      </c>
      <c r="S8" s="8">
        <v>4250</v>
      </c>
      <c r="T8" s="8">
        <f>R8*S8</f>
        <v>892500</v>
      </c>
    </row>
    <row r="9" spans="11:20" x14ac:dyDescent="0.35">
      <c r="K9" s="7">
        <v>43927</v>
      </c>
      <c r="L9" s="1"/>
      <c r="M9" s="15"/>
      <c r="N9" s="15"/>
      <c r="O9" s="1">
        <v>90</v>
      </c>
      <c r="P9" s="17">
        <v>4000</v>
      </c>
      <c r="Q9" s="14">
        <f>O9*P9</f>
        <v>360000</v>
      </c>
      <c r="R9" s="1"/>
      <c r="S9" s="8"/>
      <c r="T9" s="8"/>
    </row>
    <row r="10" spans="11:20" x14ac:dyDescent="0.35">
      <c r="K10" s="1"/>
      <c r="L10" s="1"/>
      <c r="M10" s="15"/>
      <c r="N10" s="15"/>
      <c r="O10" s="1">
        <f>180-O9</f>
        <v>90</v>
      </c>
      <c r="P10" s="16">
        <f>S8</f>
        <v>4250</v>
      </c>
      <c r="Q10" s="16">
        <f>O10*P10</f>
        <v>382500</v>
      </c>
      <c r="R10" s="1">
        <f>R8-O10</f>
        <v>120</v>
      </c>
      <c r="S10" s="8">
        <f>S8</f>
        <v>4250</v>
      </c>
      <c r="T10" s="8">
        <f>R10*S10</f>
        <v>510000</v>
      </c>
    </row>
    <row r="11" spans="11:20" x14ac:dyDescent="0.35">
      <c r="K11" s="7">
        <v>43931</v>
      </c>
      <c r="L11" s="1">
        <v>350</v>
      </c>
      <c r="M11" s="15">
        <v>4500</v>
      </c>
      <c r="N11" s="15">
        <f>L11*M11</f>
        <v>1575000</v>
      </c>
      <c r="O11" s="1"/>
      <c r="P11" s="16"/>
      <c r="Q11" s="16"/>
      <c r="R11" s="1">
        <v>120</v>
      </c>
      <c r="S11" s="8">
        <v>4250</v>
      </c>
      <c r="T11" s="8">
        <f>R11*S11</f>
        <v>510000</v>
      </c>
    </row>
    <row r="12" spans="11:20" x14ac:dyDescent="0.35">
      <c r="K12" s="1"/>
      <c r="L12" s="1"/>
      <c r="M12" s="15"/>
      <c r="N12" s="15"/>
      <c r="O12" s="1"/>
      <c r="P12" s="16"/>
      <c r="Q12" s="16"/>
      <c r="R12" s="1">
        <v>350</v>
      </c>
      <c r="S12" s="8">
        <v>4500</v>
      </c>
      <c r="T12" s="8">
        <f>R12*S12</f>
        <v>1575000</v>
      </c>
    </row>
    <row r="13" spans="11:20" x14ac:dyDescent="0.35">
      <c r="K13" s="7">
        <v>43939</v>
      </c>
      <c r="L13" s="1"/>
      <c r="M13" s="15"/>
      <c r="N13" s="15"/>
      <c r="O13" s="1">
        <v>120</v>
      </c>
      <c r="P13" s="16">
        <v>4250</v>
      </c>
      <c r="Q13" s="16">
        <f>O13*P13</f>
        <v>510000</v>
      </c>
      <c r="R13" s="1"/>
      <c r="S13" s="8"/>
      <c r="T13" s="8"/>
    </row>
    <row r="14" spans="11:20" x14ac:dyDescent="0.35">
      <c r="K14" s="1"/>
      <c r="L14" s="1"/>
      <c r="M14" s="15"/>
      <c r="N14" s="15"/>
      <c r="O14" s="1">
        <f>330-O13</f>
        <v>210</v>
      </c>
      <c r="P14" s="16">
        <f>S12</f>
        <v>4500</v>
      </c>
      <c r="Q14" s="16">
        <f>O14*P14</f>
        <v>945000</v>
      </c>
      <c r="R14" s="1">
        <f>R12-O14</f>
        <v>140</v>
      </c>
      <c r="S14" s="8">
        <f>S12</f>
        <v>4500</v>
      </c>
      <c r="T14" s="8">
        <f>R14*S14</f>
        <v>630000</v>
      </c>
    </row>
    <row r="15" spans="11:20" x14ac:dyDescent="0.35">
      <c r="K15" s="7">
        <v>43943</v>
      </c>
      <c r="L15" s="1">
        <v>300</v>
      </c>
      <c r="M15" s="15">
        <v>5000</v>
      </c>
      <c r="N15" s="15">
        <f>L15*M15</f>
        <v>1500000</v>
      </c>
      <c r="O15" s="1"/>
      <c r="P15" s="16"/>
      <c r="Q15" s="16"/>
      <c r="R15" s="1">
        <v>140</v>
      </c>
      <c r="S15" s="8">
        <v>4500</v>
      </c>
      <c r="T15" s="8">
        <f>R15*S15</f>
        <v>630000</v>
      </c>
    </row>
    <row r="16" spans="11:20" x14ac:dyDescent="0.35">
      <c r="K16" s="1"/>
      <c r="L16" s="1"/>
      <c r="M16" s="15"/>
      <c r="N16" s="15"/>
      <c r="O16" s="1"/>
      <c r="P16" s="16"/>
      <c r="Q16" s="16"/>
      <c r="R16" s="1">
        <v>300</v>
      </c>
      <c r="S16" s="8">
        <v>5000</v>
      </c>
      <c r="T16" s="8">
        <f>R16*S16</f>
        <v>1500000</v>
      </c>
    </row>
    <row r="17" spans="2:20" x14ac:dyDescent="0.35">
      <c r="B17" s="35" t="s">
        <v>16</v>
      </c>
      <c r="C17" s="35"/>
      <c r="D17" s="35"/>
      <c r="K17" s="7">
        <v>43947</v>
      </c>
      <c r="L17" s="1"/>
      <c r="M17" s="15"/>
      <c r="N17" s="15"/>
      <c r="O17" s="1">
        <v>140</v>
      </c>
      <c r="P17" s="16">
        <v>4500</v>
      </c>
      <c r="Q17" s="16">
        <f>O17*P17</f>
        <v>630000</v>
      </c>
      <c r="R17" s="1"/>
      <c r="S17" s="8"/>
      <c r="T17" s="8"/>
    </row>
    <row r="18" spans="2:20" x14ac:dyDescent="0.35">
      <c r="B18" s="35"/>
      <c r="C18" s="35"/>
      <c r="D18" s="35"/>
      <c r="K18" s="1"/>
      <c r="L18" s="1"/>
      <c r="M18" s="15"/>
      <c r="N18" s="15"/>
      <c r="O18" s="1">
        <f>270-O17</f>
        <v>130</v>
      </c>
      <c r="P18" s="16">
        <f>S16</f>
        <v>5000</v>
      </c>
      <c r="Q18" s="16">
        <f>O18*P18</f>
        <v>650000</v>
      </c>
      <c r="R18" s="1">
        <f>R16-O18</f>
        <v>170</v>
      </c>
      <c r="S18" s="8">
        <f>S16</f>
        <v>5000</v>
      </c>
      <c r="T18" s="8">
        <f>R18*S18</f>
        <v>850000</v>
      </c>
    </row>
    <row r="19" spans="2:20" x14ac:dyDescent="0.35">
      <c r="B19" s="35" t="s">
        <v>17</v>
      </c>
      <c r="C19" s="35"/>
      <c r="D19" s="48">
        <f>Q21</f>
        <v>3477500</v>
      </c>
      <c r="K19" s="1"/>
      <c r="L19" s="1"/>
      <c r="M19" s="15"/>
      <c r="N19" s="15"/>
      <c r="O19" s="1"/>
      <c r="P19" s="16"/>
      <c r="Q19" s="16"/>
      <c r="R19" s="1"/>
      <c r="S19" s="8"/>
      <c r="T19" s="8"/>
    </row>
    <row r="20" spans="2:20" x14ac:dyDescent="0.35">
      <c r="B20" s="35" t="s">
        <v>18</v>
      </c>
      <c r="C20" s="35"/>
      <c r="D20" s="48">
        <f>Q38</f>
        <v>3509033.8491295939</v>
      </c>
      <c r="K20" s="53" t="s">
        <v>10</v>
      </c>
      <c r="L20" s="53"/>
      <c r="M20" s="38"/>
      <c r="N20" s="43">
        <f>SUM(N6:N19)</f>
        <v>3967500</v>
      </c>
      <c r="O20" s="38"/>
      <c r="P20" s="40"/>
      <c r="Q20" s="40"/>
      <c r="R20" s="38"/>
      <c r="S20" s="41"/>
      <c r="T20" s="41"/>
    </row>
    <row r="21" spans="2:20" x14ac:dyDescent="0.35">
      <c r="K21" s="53" t="s">
        <v>14</v>
      </c>
      <c r="L21" s="53"/>
      <c r="M21" s="39"/>
      <c r="N21" s="39"/>
      <c r="O21" s="38"/>
      <c r="P21" s="40"/>
      <c r="Q21" s="44">
        <f>SUM(Q6:Q19)</f>
        <v>3477500</v>
      </c>
      <c r="R21" s="38"/>
      <c r="S21" s="41"/>
      <c r="T21" s="41"/>
    </row>
    <row r="22" spans="2:20" x14ac:dyDescent="0.35">
      <c r="K22" s="53" t="s">
        <v>12</v>
      </c>
      <c r="L22" s="53"/>
      <c r="M22" s="39"/>
      <c r="N22" s="39"/>
      <c r="O22" s="38"/>
      <c r="P22" s="40"/>
      <c r="Q22" s="40"/>
      <c r="R22" s="46">
        <f>R18</f>
        <v>170</v>
      </c>
      <c r="S22" s="47">
        <f>S18</f>
        <v>5000</v>
      </c>
      <c r="T22" s="45">
        <f>T18</f>
        <v>850000</v>
      </c>
    </row>
    <row r="23" spans="2:20" x14ac:dyDescent="0.35">
      <c r="M23" s="10"/>
      <c r="N23" s="10"/>
      <c r="P23" s="18"/>
      <c r="Q23" s="18"/>
      <c r="S23" s="12"/>
      <c r="T23" s="12"/>
    </row>
    <row r="24" spans="2:20" x14ac:dyDescent="0.35">
      <c r="M24" s="10"/>
      <c r="N24" s="10"/>
      <c r="P24" s="18"/>
      <c r="Q24" s="18"/>
      <c r="S24" s="12"/>
      <c r="T24" s="12"/>
    </row>
    <row r="25" spans="2:20" x14ac:dyDescent="0.35">
      <c r="M25" s="10"/>
      <c r="N25" s="10"/>
      <c r="P25" s="18"/>
      <c r="Q25" s="18"/>
      <c r="S25" s="12"/>
      <c r="T25" s="12"/>
    </row>
    <row r="26" spans="2:20" x14ac:dyDescent="0.35">
      <c r="K26" s="36" t="s">
        <v>15</v>
      </c>
      <c r="M26" s="12"/>
      <c r="N26" s="12"/>
      <c r="P26" s="12"/>
      <c r="Q26" s="12"/>
      <c r="S26" s="12"/>
      <c r="T26" s="12"/>
    </row>
    <row r="27" spans="2:20" x14ac:dyDescent="0.35">
      <c r="K27" s="24" t="s">
        <v>0</v>
      </c>
      <c r="L27" s="54" t="s">
        <v>1</v>
      </c>
      <c r="M27" s="55"/>
      <c r="N27" s="56"/>
      <c r="O27" s="54" t="s">
        <v>2</v>
      </c>
      <c r="P27" s="56"/>
      <c r="Q27" s="27"/>
      <c r="R27" s="26" t="s">
        <v>3</v>
      </c>
      <c r="S27" s="27"/>
      <c r="T27" s="27"/>
    </row>
    <row r="28" spans="2:20" x14ac:dyDescent="0.35">
      <c r="K28" s="28"/>
      <c r="L28" s="29" t="s">
        <v>4</v>
      </c>
      <c r="M28" s="37" t="s">
        <v>5</v>
      </c>
      <c r="N28" s="34" t="s">
        <v>6</v>
      </c>
      <c r="O28" s="32" t="s">
        <v>7</v>
      </c>
      <c r="P28" s="34" t="s">
        <v>5</v>
      </c>
      <c r="Q28" s="34" t="s">
        <v>6</v>
      </c>
      <c r="R28" s="29" t="s">
        <v>7</v>
      </c>
      <c r="S28" s="34" t="s">
        <v>5</v>
      </c>
      <c r="T28" s="34" t="s">
        <v>6</v>
      </c>
    </row>
    <row r="29" spans="2:20" x14ac:dyDescent="0.35">
      <c r="K29" s="9">
        <v>43922</v>
      </c>
      <c r="L29" s="1" t="s">
        <v>8</v>
      </c>
      <c r="M29" s="3"/>
      <c r="N29" s="3"/>
      <c r="O29" s="1"/>
      <c r="P29" s="4"/>
      <c r="Q29" s="4"/>
      <c r="R29" s="1">
        <v>90</v>
      </c>
      <c r="S29" s="19">
        <v>4000</v>
      </c>
      <c r="T29" s="4">
        <f>R29*S29</f>
        <v>360000</v>
      </c>
    </row>
    <row r="30" spans="2:20" x14ac:dyDescent="0.35">
      <c r="K30" s="9">
        <v>43924</v>
      </c>
      <c r="L30" s="1">
        <v>210</v>
      </c>
      <c r="M30" s="15">
        <v>4250</v>
      </c>
      <c r="N30" s="15">
        <f>L30*M30</f>
        <v>892500</v>
      </c>
      <c r="O30" s="1"/>
      <c r="P30" s="16"/>
      <c r="Q30" s="16"/>
      <c r="R30" s="1">
        <f>R29+L30</f>
        <v>300</v>
      </c>
      <c r="S30" s="8">
        <f>T30/R30</f>
        <v>4175</v>
      </c>
      <c r="T30" s="8">
        <f>T29+N30</f>
        <v>1252500</v>
      </c>
    </row>
    <row r="31" spans="2:20" x14ac:dyDescent="0.35">
      <c r="K31" s="9">
        <v>43927</v>
      </c>
      <c r="L31" s="1"/>
      <c r="M31" s="15"/>
      <c r="N31" s="15"/>
      <c r="O31" s="1">
        <v>180</v>
      </c>
      <c r="P31" s="16">
        <f>S30</f>
        <v>4175</v>
      </c>
      <c r="Q31" s="16">
        <f>O31*P31</f>
        <v>751500</v>
      </c>
      <c r="R31" s="1">
        <f>R30-O31</f>
        <v>120</v>
      </c>
      <c r="S31" s="8">
        <f>S30</f>
        <v>4175</v>
      </c>
      <c r="T31" s="8">
        <f>R31*S31</f>
        <v>501000</v>
      </c>
    </row>
    <row r="32" spans="2:20" x14ac:dyDescent="0.35">
      <c r="K32" s="9">
        <v>43931</v>
      </c>
      <c r="L32" s="1">
        <v>350</v>
      </c>
      <c r="M32" s="15">
        <v>4500</v>
      </c>
      <c r="N32" s="15">
        <f>L32*M32</f>
        <v>1575000</v>
      </c>
      <c r="O32" s="1"/>
      <c r="P32" s="16"/>
      <c r="Q32" s="16"/>
      <c r="R32" s="1">
        <f>R31+L32</f>
        <v>470</v>
      </c>
      <c r="S32" s="8">
        <f>T32/R32</f>
        <v>4417.0212765957449</v>
      </c>
      <c r="T32" s="8">
        <f>T31+N32</f>
        <v>2076000</v>
      </c>
    </row>
    <row r="33" spans="11:20" x14ac:dyDescent="0.35">
      <c r="K33" s="9">
        <v>43939</v>
      </c>
      <c r="L33" s="1"/>
      <c r="M33" s="15"/>
      <c r="N33" s="15"/>
      <c r="O33" s="1">
        <v>330</v>
      </c>
      <c r="P33" s="16">
        <f>S32</f>
        <v>4417.0212765957449</v>
      </c>
      <c r="Q33" s="16">
        <f>O33*P33</f>
        <v>1457617.0212765958</v>
      </c>
      <c r="R33" s="1">
        <f>R32-O33</f>
        <v>140</v>
      </c>
      <c r="S33" s="8">
        <f>S32</f>
        <v>4417.0212765957449</v>
      </c>
      <c r="T33" s="8">
        <f>R33*S33</f>
        <v>618382.97872340423</v>
      </c>
    </row>
    <row r="34" spans="11:20" x14ac:dyDescent="0.35">
      <c r="K34" s="9">
        <v>43943</v>
      </c>
      <c r="L34" s="1">
        <v>300</v>
      </c>
      <c r="M34" s="15">
        <v>5000</v>
      </c>
      <c r="N34" s="15">
        <f>L34*M34</f>
        <v>1500000</v>
      </c>
      <c r="O34" s="1"/>
      <c r="P34" s="16"/>
      <c r="Q34" s="16"/>
      <c r="R34" s="1">
        <f>R33+L34</f>
        <v>440</v>
      </c>
      <c r="S34" s="8">
        <f>T34/R34</f>
        <v>4814.5067698259181</v>
      </c>
      <c r="T34" s="8">
        <f>T33+N34</f>
        <v>2118382.978723404</v>
      </c>
    </row>
    <row r="35" spans="11:20" x14ac:dyDescent="0.35">
      <c r="K35" s="9">
        <v>43947</v>
      </c>
      <c r="L35" s="1"/>
      <c r="M35" s="15"/>
      <c r="N35" s="15"/>
      <c r="O35" s="1">
        <v>270</v>
      </c>
      <c r="P35" s="16">
        <f>S34</f>
        <v>4814.5067698259181</v>
      </c>
      <c r="Q35" s="16">
        <f>O35*P35</f>
        <v>1299916.8278529979</v>
      </c>
      <c r="R35" s="1">
        <f>R34-O35</f>
        <v>170</v>
      </c>
      <c r="S35" s="8">
        <f>S34</f>
        <v>4814.5067698259181</v>
      </c>
      <c r="T35" s="8">
        <f>R35*S35</f>
        <v>818466.15087040607</v>
      </c>
    </row>
    <row r="36" spans="11:20" x14ac:dyDescent="0.35">
      <c r="K36" s="20"/>
      <c r="L36" s="20"/>
      <c r="M36" s="21"/>
      <c r="N36" s="21"/>
      <c r="O36" s="20"/>
      <c r="P36" s="22"/>
      <c r="Q36" s="22"/>
      <c r="R36" s="20"/>
      <c r="S36" s="23"/>
      <c r="T36" s="23"/>
    </row>
    <row r="37" spans="11:20" x14ac:dyDescent="0.35">
      <c r="K37" s="53" t="s">
        <v>10</v>
      </c>
      <c r="L37" s="53"/>
      <c r="M37" s="38"/>
      <c r="N37" s="43">
        <f>SUM(N29:N36)</f>
        <v>3967500</v>
      </c>
      <c r="O37" s="38"/>
      <c r="P37" s="40"/>
      <c r="Q37" s="40"/>
      <c r="R37" s="38"/>
      <c r="S37" s="41"/>
      <c r="T37" s="41"/>
    </row>
    <row r="38" spans="11:20" x14ac:dyDescent="0.35">
      <c r="K38" s="53" t="s">
        <v>11</v>
      </c>
      <c r="L38" s="53"/>
      <c r="M38" s="39"/>
      <c r="N38" s="39"/>
      <c r="O38" s="38"/>
      <c r="P38" s="40"/>
      <c r="Q38" s="44">
        <f>SUM(Q29:Q36)</f>
        <v>3509033.8491295939</v>
      </c>
      <c r="R38" s="38"/>
      <c r="S38" s="41"/>
      <c r="T38" s="41"/>
    </row>
    <row r="39" spans="11:20" x14ac:dyDescent="0.35">
      <c r="K39" s="53" t="s">
        <v>12</v>
      </c>
      <c r="L39" s="53"/>
      <c r="M39" s="39"/>
      <c r="N39" s="39"/>
      <c r="O39" s="38"/>
      <c r="P39" s="40"/>
      <c r="Q39" s="40"/>
      <c r="R39" s="38">
        <f>R35</f>
        <v>170</v>
      </c>
      <c r="S39" s="41">
        <f>S35</f>
        <v>4814.5067698259181</v>
      </c>
      <c r="T39" s="45">
        <f>S39*R39</f>
        <v>818466.15087040607</v>
      </c>
    </row>
    <row r="40" spans="11:20" x14ac:dyDescent="0.35">
      <c r="M40" s="10"/>
      <c r="N40" s="10"/>
      <c r="P40" s="18"/>
      <c r="Q40" s="18"/>
      <c r="S40" s="12"/>
      <c r="T40" s="12"/>
    </row>
  </sheetData>
  <mergeCells count="10">
    <mergeCell ref="K37:L37"/>
    <mergeCell ref="K38:L38"/>
    <mergeCell ref="K39:L39"/>
    <mergeCell ref="L4:N4"/>
    <mergeCell ref="O4:P4"/>
    <mergeCell ref="K20:L20"/>
    <mergeCell ref="K21:L21"/>
    <mergeCell ref="K22:L22"/>
    <mergeCell ref="L27:N27"/>
    <mergeCell ref="O27:P2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65b2e-ce9f-47b9-8ae3-b0a618a868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E11B66AFF66FE84D99924DA7B0D9DE11" ma:contentTypeVersion="5" ma:contentTypeDescription="Buat sebuah dokumen baru." ma:contentTypeScope="" ma:versionID="a7381570b726ae333e5d963e713d1c91">
  <xsd:schema xmlns:xsd="http://www.w3.org/2001/XMLSchema" xmlns:xs="http://www.w3.org/2001/XMLSchema" xmlns:p="http://schemas.microsoft.com/office/2006/metadata/properties" xmlns:ns3="6d765b2e-ce9f-47b9-8ae3-b0a618a86819" targetNamespace="http://schemas.microsoft.com/office/2006/metadata/properties" ma:root="true" ma:fieldsID="b6aa6ffaef98965297f8b0bc5d680ee8" ns3:_="">
    <xsd:import namespace="6d765b2e-ce9f-47b9-8ae3-b0a618a868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5b2e-ce9f-47b9-8ae3-b0a618a868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4B3EF3-CEFF-43B5-94B6-0E85471C6B5F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d765b2e-ce9f-47b9-8ae3-b0a618a8681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3BF1E0-42A5-4853-B8FC-CDD8B15885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AEE84-249B-40AD-BACA-AC9E353FC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65b2e-ce9f-47b9-8ae3-b0a618a86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 1</vt:lpstr>
      <vt:lpstr>SOAL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BILQIS NAILAH FAUZIYYAH</dc:creator>
  <cp:lastModifiedBy>BILQIS NAILAH FAUZIYYAH</cp:lastModifiedBy>
  <dcterms:created xsi:type="dcterms:W3CDTF">2026-04-01T07:54:02Z</dcterms:created>
  <dcterms:modified xsi:type="dcterms:W3CDTF">2026-04-02T02:07:11Z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0x010100E11B66AFF66FE84D99924DA7B0D9DE11</vt:lpwstr>
  </property>
</Properties>
</file>