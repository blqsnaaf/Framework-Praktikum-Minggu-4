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ILQIS NA'ILAH F\Documents\SUBJECT\SEMESTER 4\PERPAJAKAN LANJUT\"/>
    </mc:Choice>
  </mc:AlternateContent>
  <xr:revisionPtr revIDLastSave="0" documentId="8_{CDAF7784-6CBF-4EF2-ABAA-97175DEBFAC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OAL 2 " sheetId="2" r:id="rId1"/>
    <sheet name="SOAL SP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UYVTkv+Ee1qDLxWQIZ60JgMQqRUaCS2u8ksU7GVIOU="/>
    </ext>
  </extLst>
</workbook>
</file>

<file path=xl/calcChain.xml><?xml version="1.0" encoding="utf-8"?>
<calcChain xmlns="http://schemas.openxmlformats.org/spreadsheetml/2006/main">
  <c r="D84" i="2" l="1"/>
  <c r="D47" i="2"/>
  <c r="O71" i="2"/>
  <c r="O69" i="2"/>
  <c r="O68" i="2"/>
  <c r="O56" i="2"/>
  <c r="O54" i="2"/>
  <c r="O53" i="2"/>
  <c r="O40" i="2"/>
  <c r="O30" i="2"/>
  <c r="O20" i="2"/>
  <c r="O11" i="2"/>
  <c r="D135" i="2"/>
  <c r="D134" i="2"/>
  <c r="D126" i="2"/>
  <c r="D113" i="2"/>
  <c r="D102" i="2"/>
  <c r="D94" i="2"/>
  <c r="D93" i="2"/>
  <c r="E82" i="2"/>
  <c r="E74" i="2"/>
  <c r="D58" i="2"/>
  <c r="F35" i="2"/>
  <c r="F34" i="2"/>
  <c r="E17" i="2"/>
  <c r="E18" i="2" s="1"/>
  <c r="D61" i="1"/>
  <c r="D67" i="1"/>
  <c r="D66" i="1"/>
  <c r="D55" i="1"/>
  <c r="C43" i="1"/>
  <c r="D45" i="1" s="1"/>
  <c r="D47" i="1" s="1"/>
  <c r="D57" i="1" s="1"/>
  <c r="D59" i="1" s="1"/>
</calcChain>
</file>

<file path=xl/sharedStrings.xml><?xml version="1.0" encoding="utf-8"?>
<sst xmlns="http://schemas.openxmlformats.org/spreadsheetml/2006/main" count="178" uniqueCount="126">
  <si>
    <t>Berikut data Laporan Keuangan TOKO BANGUNAN 'LANCAR JAYA"</t>
  </si>
  <si>
    <t>Nama Pemilik</t>
  </si>
  <si>
    <t>Muhammad ALI</t>
  </si>
  <si>
    <t>Status</t>
  </si>
  <si>
    <t>K/3</t>
  </si>
  <si>
    <t>NPWP</t>
  </si>
  <si>
    <t>Alamat Pemilik</t>
  </si>
  <si>
    <t>Jl. Ancol Timur no. 200 Bandung</t>
  </si>
  <si>
    <t>Alamat Usaha</t>
  </si>
  <si>
    <t>Jl. Ancol Timur no. 400 Bandung</t>
  </si>
  <si>
    <t>Kelompok Usaha</t>
  </si>
  <si>
    <t>Perdagangan</t>
  </si>
  <si>
    <t>DATA HARTA PADA AKHIR TAHUN 2023</t>
  </si>
  <si>
    <t>No.</t>
  </si>
  <si>
    <t>Jenis Harta</t>
  </si>
  <si>
    <t>Tahun perolehan</t>
  </si>
  <si>
    <t>Harga perolehan</t>
  </si>
  <si>
    <t>Tanah dan Bangunan (061)</t>
  </si>
  <si>
    <t>Mobil CRV (043)</t>
  </si>
  <si>
    <t>Sepeda Motor Beat (042)</t>
  </si>
  <si>
    <t>Deposito</t>
  </si>
  <si>
    <t>Rp. 350.000.000</t>
  </si>
  <si>
    <t>Sewa Rumah</t>
  </si>
  <si>
    <t>Rp. 50.000.000</t>
  </si>
  <si>
    <t>DATA KEWAJIBAN/HUTANG PADA AKHIR TAHUN 2023</t>
  </si>
  <si>
    <t>Nama pemberi pinjaman</t>
  </si>
  <si>
    <t>SISA HUTANG</t>
  </si>
  <si>
    <t>Bank MANDIRI  (101)</t>
  </si>
  <si>
    <t>Rp.  625.000.000</t>
  </si>
  <si>
    <t>Mandiri Finance (109)</t>
  </si>
  <si>
    <t>Rp.  575.000.000</t>
  </si>
  <si>
    <t>Nama</t>
  </si>
  <si>
    <t>NIK</t>
  </si>
  <si>
    <t>Hubungan</t>
  </si>
  <si>
    <t>KEPALA KELUARGA</t>
  </si>
  <si>
    <t>DEWI</t>
  </si>
  <si>
    <t>31-06-12-44-03-91-0302</t>
  </si>
  <si>
    <t>ISTRI/ IBU RUMAH TANGGA</t>
  </si>
  <si>
    <t>FIRMAN</t>
  </si>
  <si>
    <t>31-06-12-44-03-91-0303</t>
  </si>
  <si>
    <t>ANAK KANDUNG/PELAJAR</t>
  </si>
  <si>
    <t>FIRAS</t>
  </si>
  <si>
    <t>31-06-12-44-03-91-0304</t>
  </si>
  <si>
    <t>FITRA</t>
  </si>
  <si>
    <t>31-06-12-44-03-91-0305</t>
  </si>
  <si>
    <t>Berikut Laporan Keuangan TOKO BANGUNAN "LANCAR JAYA"</t>
  </si>
  <si>
    <t>TOKO BANGUNAN 'SINAR ANCOL"</t>
  </si>
  <si>
    <t>Lap Laba Rugi</t>
  </si>
  <si>
    <t>Per 31 Desember 2023</t>
  </si>
  <si>
    <t>Penjualan</t>
  </si>
  <si>
    <t>Harga Pokok Penjualan :</t>
  </si>
  <si>
    <t>Persediaan Awal</t>
  </si>
  <si>
    <t>Pembelian</t>
  </si>
  <si>
    <t>Barang Yg Tersedia Untuk Dijual</t>
  </si>
  <si>
    <t>Persediaan Akhir</t>
  </si>
  <si>
    <t>Laba / ( rugi ) Kotor</t>
  </si>
  <si>
    <t>Biaya Operasional :</t>
  </si>
  <si>
    <t>Biaya Gaji</t>
  </si>
  <si>
    <t>Biaya Listrik</t>
  </si>
  <si>
    <t>Biaya Telepon</t>
  </si>
  <si>
    <t>Biaya Perlengkapan</t>
  </si>
  <si>
    <t>Biaya Lain - Lain</t>
  </si>
  <si>
    <t>Total Biaya Operasional :</t>
  </si>
  <si>
    <t>Laba / ( rugi ) Bersih Usaha</t>
  </si>
  <si>
    <t>Pendapatan dari luar usaha</t>
  </si>
  <si>
    <t>Laba / ( rugi ) Bersih Sebelum Pajak</t>
  </si>
  <si>
    <t>Pajak Penghasilan</t>
  </si>
  <si>
    <t>Pendapatan dari luar usaha :</t>
  </si>
  <si>
    <t>Nilai</t>
  </si>
  <si>
    <t>PPh Final (Pasal 4 ayat 2)</t>
  </si>
  <si>
    <t>Deposito dari BCA</t>
  </si>
  <si>
    <t>Rp. 350.000.000 (bunga deposito 12%)</t>
  </si>
  <si>
    <t>Pengisian di lampiran III Pajak Final</t>
  </si>
  <si>
    <t>Sewa</t>
  </si>
  <si>
    <t>Pertanyaan :</t>
  </si>
  <si>
    <t>Berapakah PPh Pasal 25 dari data tersebut (Data dari Induk point 21)</t>
  </si>
  <si>
    <t>Jawab:</t>
  </si>
  <si>
    <t>Dik:</t>
  </si>
  <si>
    <t>Bunga</t>
  </si>
  <si>
    <t>Bunga per bulan</t>
  </si>
  <si>
    <t>Pajak Final</t>
  </si>
  <si>
    <t>Dit:</t>
  </si>
  <si>
    <t xml:space="preserve">20% x </t>
  </si>
  <si>
    <t xml:space="preserve">Pajak yang dipotong Bank </t>
  </si>
  <si>
    <t>per bulan</t>
  </si>
  <si>
    <t>pajak dalam 1 tahun</t>
  </si>
  <si>
    <t>saldo rata2</t>
  </si>
  <si>
    <t>per tahun</t>
  </si>
  <si>
    <t>Bunga/bulan</t>
  </si>
  <si>
    <t>Pph Final</t>
  </si>
  <si>
    <t>x</t>
  </si>
  <si>
    <t>Pajak yang dipotong / bulan:</t>
  </si>
  <si>
    <t>Diskonto</t>
  </si>
  <si>
    <t>Pajak dipotong</t>
  </si>
  <si>
    <t>(final)</t>
  </si>
  <si>
    <t xml:space="preserve">Tarif PPh </t>
  </si>
  <si>
    <t>Bunga setahun</t>
  </si>
  <si>
    <t>Januari</t>
  </si>
  <si>
    <t>Februari</t>
  </si>
  <si>
    <t>tidak kena pajak</t>
  </si>
  <si>
    <t>Maret</t>
  </si>
  <si>
    <t>Jumlah Saham</t>
  </si>
  <si>
    <t>lembar</t>
  </si>
  <si>
    <t>Harga/lembar</t>
  </si>
  <si>
    <t>Harga Jual</t>
  </si>
  <si>
    <t>0,1 % x 6000000</t>
  </si>
  <si>
    <t>Hadiah Undian</t>
  </si>
  <si>
    <t>Tarif Pajak</t>
  </si>
  <si>
    <t>Harga Rumah</t>
  </si>
  <si>
    <t>Tarif PPh Final</t>
  </si>
  <si>
    <t>Nilai Hadiah</t>
  </si>
  <si>
    <t>Suku bunga</t>
  </si>
  <si>
    <t>20% x 25000000</t>
  </si>
  <si>
    <t>Nilai Undian</t>
  </si>
  <si>
    <t>Tarif PPh final</t>
  </si>
  <si>
    <t>Nilai sewa</t>
  </si>
  <si>
    <t>Harga jual Tanah</t>
  </si>
  <si>
    <t>PPh Final</t>
  </si>
  <si>
    <t>Nilai Kontrak</t>
  </si>
  <si>
    <t>Bunga per tahun</t>
  </si>
  <si>
    <t>Jangka waktu</t>
  </si>
  <si>
    <t>PPh final</t>
  </si>
  <si>
    <t>3 bulan</t>
  </si>
  <si>
    <t>Bunga 3 bulan</t>
  </si>
  <si>
    <t>Denda</t>
  </si>
  <si>
    <t>Bunga 2 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</si>
</sst>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Rp&quot;#,##0;[Red]\-&quot;Rp&quot;#,##0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-* #,##0_-;\-* #,##0_-;_-* &quot;-&quot;_-;_-@"/>
    <numFmt numFmtId="167" formatCode="0.0%"/>
  </numFmts>
  <fonts count="10" x14ac:knownFonts="1">
    <font>
      <sz val="11"/>
      <color theme="1"/>
      <name val="Aptos Narrow"/>
      <scheme val="minor"/>
    </font>
    <font>
      <b/>
      <sz val="11"/>
      <color theme="1"/>
      <name val="Book Antiqua"/>
    </font>
    <font>
      <sz val="11"/>
      <color theme="1"/>
      <name val="Book Antiqua"/>
    </font>
    <font>
      <sz val="11"/>
      <name val="Aptos Narrow"/>
    </font>
    <font>
      <sz val="11"/>
      <color rgb="FF323233"/>
      <name val="Book Antiqua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6" fontId="2" fillId="0" borderId="4" xfId="0" applyNumberFormat="1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6" fontId="2" fillId="0" borderId="0" xfId="0" applyNumberFormat="1" applyFont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6" fontId="2" fillId="0" borderId="0" xfId="0" applyNumberFormat="1" applyFont="1" applyAlignment="1">
      <alignment horizontal="left" vertical="center" wrapText="1"/>
    </xf>
    <xf numFmtId="0" fontId="2" fillId="0" borderId="4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1" fillId="0" borderId="0" xfId="0" applyFont="1"/>
    <xf numFmtId="164" fontId="2" fillId="0" borderId="0" xfId="0" applyNumberFormat="1" applyFont="1"/>
    <xf numFmtId="164" fontId="2" fillId="0" borderId="5" xfId="0" applyNumberFormat="1" applyFont="1" applyBorder="1"/>
    <xf numFmtId="164" fontId="2" fillId="2" borderId="6" xfId="0" applyNumberFormat="1" applyFont="1" applyFill="1" applyBorder="1" applyAlignment="1">
      <alignment horizontal="center"/>
    </xf>
    <xf numFmtId="0" fontId="1" fillId="0" borderId="7" xfId="0" applyFont="1" applyBorder="1"/>
    <xf numFmtId="164" fontId="2" fillId="0" borderId="7" xfId="0" applyNumberFormat="1" applyFont="1" applyBorder="1"/>
    <xf numFmtId="164" fontId="2" fillId="2" borderId="8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2" fillId="0" borderId="1" xfId="0" applyFont="1" applyBorder="1" applyAlignment="1">
      <alignment horizontal="left"/>
    </xf>
    <xf numFmtId="0" fontId="3" fillId="0" borderId="2" xfId="0" applyFont="1" applyBorder="1"/>
    <xf numFmtId="0" fontId="3" fillId="0" borderId="3" xfId="0" applyFont="1" applyBorder="1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7" fillId="0" borderId="0" xfId="0" applyFont="1"/>
    <xf numFmtId="43" fontId="7" fillId="0" borderId="0" xfId="1" applyFont="1"/>
    <xf numFmtId="2" fontId="0" fillId="0" borderId="0" xfId="0" applyNumberFormat="1"/>
    <xf numFmtId="0" fontId="8" fillId="0" borderId="0" xfId="0" applyFont="1"/>
    <xf numFmtId="44" fontId="8" fillId="0" borderId="0" xfId="0" applyNumberFormat="1" applyFont="1"/>
    <xf numFmtId="9" fontId="8" fillId="0" borderId="0" xfId="0" applyNumberFormat="1" applyFont="1"/>
    <xf numFmtId="0" fontId="9" fillId="0" borderId="0" xfId="0" applyFont="1"/>
    <xf numFmtId="44" fontId="8" fillId="0" borderId="0" xfId="2" applyFont="1"/>
    <xf numFmtId="167" fontId="8" fillId="0" borderId="0" xfId="0" applyNumberFormat="1" applyFont="1"/>
    <xf numFmtId="10" fontId="8" fillId="0" borderId="0" xfId="0" applyNumberFormat="1" applyFont="1"/>
    <xf numFmtId="0" fontId="9" fillId="3" borderId="0" xfId="0" applyFont="1" applyFill="1"/>
    <xf numFmtId="44" fontId="9" fillId="3" borderId="0" xfId="0" applyNumberFormat="1" applyFont="1" applyFill="1"/>
    <xf numFmtId="44" fontId="9" fillId="3" borderId="0" xfId="2" applyFont="1" applyFill="1"/>
    <xf numFmtId="0" fontId="8" fillId="0" borderId="0" xfId="0" applyFont="1" applyAlignment="1">
      <alignment horizontal="right"/>
    </xf>
    <xf numFmtId="9" fontId="8" fillId="0" borderId="0" xfId="0" applyNumberFormat="1" applyFont="1" applyAlignment="1">
      <alignment horizontal="right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583315</xdr:colOff>
      <xdr:row>0</xdr:row>
      <xdr:rowOff>177209</xdr:rowOff>
    </xdr:from>
    <xdr:to>
      <xdr:col>7</xdr:col>
      <xdr:colOff>766999</xdr:colOff>
      <xdr:row>6</xdr:row>
      <xdr:rowOff>133316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DDD853-AB21-8EBF-0440-326600647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6164" y="177209"/>
          <a:ext cx="7701221" cy="106366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8</xdr:col>
      <xdr:colOff>385052</xdr:colOff>
      <xdr:row>26</xdr:row>
      <xdr:rowOff>121337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532FB4-73BD-953A-B0EF-C9CE75B4D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5698" y="3691860"/>
          <a:ext cx="8840434" cy="122889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8</xdr:col>
      <xdr:colOff>299315</xdr:colOff>
      <xdr:row>42</xdr:row>
      <xdr:rowOff>61559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5A5357-0D2C-18AC-D9DC-13F2B6154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5698" y="6645349"/>
          <a:ext cx="8754697" cy="13146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8</xdr:col>
      <xdr:colOff>32578</xdr:colOff>
      <xdr:row>53</xdr:row>
      <xdr:rowOff>43672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4627987-DAAC-CB1E-F3AD-075DBC863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5698" y="8860465"/>
          <a:ext cx="8487960" cy="1209844"/>
        </a:xfrm>
        <a:prstGeom prst="rect">
          <a:avLst/>
        </a:prstGeom>
      </xdr:spPr>
    </xdr:pic>
    <xdr:clientData/>
  </xdr:twoCellAnchor>
  <xdr:twoCellAnchor editAs="oneCell">
    <xdr:from>
      <xdr:col>1</xdr:col>
      <xdr:colOff>468923</xdr:colOff>
      <xdr:row>58</xdr:row>
      <xdr:rowOff>97693</xdr:rowOff>
    </xdr:from>
    <xdr:to>
      <xdr:col>8</xdr:col>
      <xdr:colOff>91575</xdr:colOff>
      <xdr:row>68</xdr:row>
      <xdr:rowOff>4935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442C122-6F1A-1CAA-BA53-9C08AA71F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4615" y="10863385"/>
          <a:ext cx="8668960" cy="21053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9</xdr:col>
      <xdr:colOff>79917</xdr:colOff>
      <xdr:row>89</xdr:row>
      <xdr:rowOff>138576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AB40B59-CC86-4964-77AA-A4EC0E8C5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1385" y="17867923"/>
          <a:ext cx="9126224" cy="69542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7</xdr:col>
      <xdr:colOff>1476567</xdr:colOff>
      <xdr:row>98</xdr:row>
      <xdr:rowOff>109997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7C1ECC6-EF92-5229-C7D3-DA6C30116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1385" y="19782692"/>
          <a:ext cx="8373644" cy="6668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8</xdr:col>
      <xdr:colOff>380766</xdr:colOff>
      <xdr:row>109</xdr:row>
      <xdr:rowOff>115204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100E48B-69E2-4263-F740-892326C10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1385" y="21414154"/>
          <a:ext cx="8821381" cy="122889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114</xdr:row>
      <xdr:rowOff>0</xdr:rowOff>
    </xdr:from>
    <xdr:to>
      <xdr:col>8</xdr:col>
      <xdr:colOff>123555</xdr:colOff>
      <xdr:row>122</xdr:row>
      <xdr:rowOff>86921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6F01FDD-5F87-2224-22C1-976B6B273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1385" y="23455923"/>
          <a:ext cx="8564170" cy="157184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127</xdr:row>
      <xdr:rowOff>0</xdr:rowOff>
    </xdr:from>
    <xdr:to>
      <xdr:col>7</xdr:col>
      <xdr:colOff>1276514</xdr:colOff>
      <xdr:row>130</xdr:row>
      <xdr:rowOff>71892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5317BDC-0B8B-A9CD-5544-52D059779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1385" y="25868923"/>
          <a:ext cx="8173591" cy="628738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24</xdr:col>
      <xdr:colOff>88121</xdr:colOff>
      <xdr:row>6</xdr:row>
      <xdr:rowOff>157925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7DEB331-2D12-9E60-6281-BD7073327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074769" y="185615"/>
          <a:ext cx="8421275" cy="1086002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25</xdr:col>
      <xdr:colOff>120693</xdr:colOff>
      <xdr:row>16</xdr:row>
      <xdr:rowOff>119577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4DC627D-46FE-60CC-9C39-E379B76FA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074769" y="2422769"/>
          <a:ext cx="9059539" cy="105742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24</xdr:col>
      <xdr:colOff>11911</xdr:colOff>
      <xdr:row>25</xdr:row>
      <xdr:rowOff>105382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F466AE0-6BB0-1D9A-72C5-D3D6D2523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074769" y="4484077"/>
          <a:ext cx="8345065" cy="84784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24</xdr:col>
      <xdr:colOff>231016</xdr:colOff>
      <xdr:row>36</xdr:row>
      <xdr:rowOff>134013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A8E76F-A52E-6772-EA7D-329FB0D50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074769" y="6535615"/>
          <a:ext cx="8564170" cy="125747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23</xdr:col>
      <xdr:colOff>379444</xdr:colOff>
      <xdr:row>46</xdr:row>
      <xdr:rowOff>60232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08C8478-0D25-A944-EB4F-1E3407E0D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074769" y="8587154"/>
          <a:ext cx="8106906" cy="1086002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57</xdr:row>
      <xdr:rowOff>0</xdr:rowOff>
    </xdr:from>
    <xdr:to>
      <xdr:col>24</xdr:col>
      <xdr:colOff>192911</xdr:colOff>
      <xdr:row>61</xdr:row>
      <xdr:rowOff>74374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8280C16-35F4-3019-7025-AB730C629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074769" y="11801231"/>
          <a:ext cx="8526065" cy="9145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97D02-7454-48B9-BBDF-8186CC69F27B}">
  <dimension ref="B2:O135"/>
  <sheetViews>
    <sheetView tabSelected="1" zoomScale="65" workbookViewId="0">
      <selection activeCell="D46" sqref="D46"/>
    </sheetView>
  </sheetViews>
  <sheetFormatPr defaultRowHeight="14.5" x14ac:dyDescent="0.35"/>
  <cols>
    <col min="3" max="3" width="26.81640625" customWidth="1"/>
    <col min="4" max="4" width="23.6328125" customWidth="1"/>
    <col min="5" max="5" width="21.90625" bestFit="1" customWidth="1"/>
    <col min="6" max="6" width="21.453125" customWidth="1"/>
    <col min="7" max="7" width="4.90625" customWidth="1"/>
    <col min="8" max="8" width="22.08984375" customWidth="1"/>
    <col min="9" max="9" width="8.7265625" customWidth="1"/>
    <col min="15" max="15" width="23.90625" bestFit="1" customWidth="1"/>
  </cols>
  <sheetData>
    <row r="2" spans="2:15" x14ac:dyDescent="0.35">
      <c r="B2" s="33"/>
    </row>
    <row r="9" spans="2:15" ht="18.5" x14ac:dyDescent="0.45">
      <c r="C9" s="34" t="s">
        <v>77</v>
      </c>
      <c r="D9" s="34" t="s">
        <v>20</v>
      </c>
      <c r="E9" s="35">
        <v>120000000</v>
      </c>
      <c r="M9" s="34" t="s">
        <v>113</v>
      </c>
      <c r="N9" s="34"/>
      <c r="O9" s="38">
        <v>100000000</v>
      </c>
    </row>
    <row r="10" spans="2:15" ht="18.5" x14ac:dyDescent="0.45">
      <c r="C10" s="34"/>
      <c r="D10" s="34" t="s">
        <v>78</v>
      </c>
      <c r="E10" s="36">
        <v>0.12</v>
      </c>
      <c r="M10" s="34" t="s">
        <v>114</v>
      </c>
      <c r="N10" s="34"/>
      <c r="O10" s="36">
        <v>0.25</v>
      </c>
    </row>
    <row r="11" spans="2:15" ht="18.5" x14ac:dyDescent="0.45">
      <c r="C11" s="34"/>
      <c r="D11" s="34" t="s">
        <v>79</v>
      </c>
      <c r="E11" s="35">
        <v>1200000</v>
      </c>
      <c r="M11" s="41" t="s">
        <v>93</v>
      </c>
      <c r="N11" s="41"/>
      <c r="O11" s="42">
        <f>O9*O10</f>
        <v>25000000</v>
      </c>
    </row>
    <row r="12" spans="2:15" ht="18.5" x14ac:dyDescent="0.45">
      <c r="C12" s="34"/>
      <c r="D12" s="34" t="s">
        <v>80</v>
      </c>
      <c r="E12" s="36">
        <v>0.2</v>
      </c>
    </row>
    <row r="13" spans="2:15" ht="18.5" x14ac:dyDescent="0.45">
      <c r="C13" s="34"/>
      <c r="D13" s="34"/>
      <c r="E13" s="34"/>
    </row>
    <row r="14" spans="2:15" ht="18.5" x14ac:dyDescent="0.45">
      <c r="C14" s="34" t="s">
        <v>81</v>
      </c>
      <c r="D14" s="34" t="s">
        <v>83</v>
      </c>
      <c r="E14" s="34"/>
    </row>
    <row r="15" spans="2:15" ht="18.5" x14ac:dyDescent="0.45">
      <c r="C15" s="34"/>
      <c r="D15" s="34" t="s">
        <v>84</v>
      </c>
      <c r="E15" s="34"/>
    </row>
    <row r="16" spans="2:15" ht="18.5" x14ac:dyDescent="0.45">
      <c r="C16" s="34"/>
      <c r="D16" s="34" t="s">
        <v>82</v>
      </c>
      <c r="E16" s="35">
        <v>1200000</v>
      </c>
    </row>
    <row r="17" spans="3:15" ht="18.5" x14ac:dyDescent="0.45">
      <c r="C17" s="34"/>
      <c r="E17" s="35">
        <f>20%*E16</f>
        <v>240000</v>
      </c>
    </row>
    <row r="18" spans="3:15" ht="18.5" x14ac:dyDescent="0.45">
      <c r="C18" s="34"/>
      <c r="D18" s="41" t="s">
        <v>85</v>
      </c>
      <c r="E18" s="42">
        <f>E17*12</f>
        <v>2880000</v>
      </c>
      <c r="M18" s="34" t="s">
        <v>115</v>
      </c>
      <c r="N18" s="34"/>
      <c r="O18" s="38">
        <v>120000000</v>
      </c>
    </row>
    <row r="19" spans="3:15" ht="18.5" x14ac:dyDescent="0.45">
      <c r="C19" s="34"/>
      <c r="E19" s="34"/>
      <c r="M19" s="34" t="s">
        <v>114</v>
      </c>
      <c r="N19" s="34"/>
      <c r="O19" s="36">
        <v>0.1</v>
      </c>
    </row>
    <row r="20" spans="3:15" ht="18.5" x14ac:dyDescent="0.45">
      <c r="M20" s="41" t="s">
        <v>93</v>
      </c>
      <c r="N20" s="41"/>
      <c r="O20" s="42">
        <f>O18*O19</f>
        <v>12000000</v>
      </c>
    </row>
    <row r="28" spans="3:15" ht="18.5" x14ac:dyDescent="0.45">
      <c r="C28" s="34" t="s">
        <v>77</v>
      </c>
      <c r="D28" s="34" t="s">
        <v>86</v>
      </c>
      <c r="E28" s="38">
        <v>550000000</v>
      </c>
      <c r="F28" s="34"/>
      <c r="G28" s="34"/>
      <c r="H28" s="34"/>
      <c r="M28" s="34" t="s">
        <v>116</v>
      </c>
      <c r="N28" s="34"/>
      <c r="O28" s="38">
        <v>1000000000</v>
      </c>
    </row>
    <row r="29" spans="3:15" ht="18.5" x14ac:dyDescent="0.45">
      <c r="C29" s="34"/>
      <c r="D29" s="34" t="s">
        <v>78</v>
      </c>
      <c r="E29" s="36">
        <v>0.09</v>
      </c>
      <c r="F29" s="34" t="s">
        <v>87</v>
      </c>
      <c r="G29" s="34"/>
      <c r="H29" s="34"/>
      <c r="M29" s="34" t="s">
        <v>117</v>
      </c>
      <c r="N29" s="34"/>
      <c r="O29" s="40">
        <v>2.5000000000000001E-2</v>
      </c>
    </row>
    <row r="30" spans="3:15" ht="18.5" x14ac:dyDescent="0.45">
      <c r="C30" s="34"/>
      <c r="D30" s="34" t="s">
        <v>88</v>
      </c>
      <c r="E30" s="38">
        <v>4125000</v>
      </c>
      <c r="F30" s="34"/>
      <c r="G30" s="34"/>
      <c r="H30" s="34"/>
      <c r="M30" s="41" t="s">
        <v>93</v>
      </c>
      <c r="N30" s="41"/>
      <c r="O30" s="42">
        <f>O28*O29</f>
        <v>25000000</v>
      </c>
    </row>
    <row r="31" spans="3:15" ht="18.5" x14ac:dyDescent="0.45">
      <c r="C31" s="34"/>
      <c r="D31" s="34" t="s">
        <v>89</v>
      </c>
      <c r="E31" s="36">
        <v>0.2</v>
      </c>
      <c r="F31" s="34"/>
      <c r="G31" s="34"/>
      <c r="H31" s="34"/>
    </row>
    <row r="32" spans="3:15" ht="18.5" x14ac:dyDescent="0.45">
      <c r="C32" s="34" t="s">
        <v>81</v>
      </c>
      <c r="D32" s="34" t="s">
        <v>83</v>
      </c>
      <c r="E32" s="34"/>
      <c r="F32" s="34"/>
      <c r="G32" s="34"/>
      <c r="H32" s="34"/>
    </row>
    <row r="33" spans="3:15" ht="18.5" x14ac:dyDescent="0.45">
      <c r="C33" s="34" t="s">
        <v>76</v>
      </c>
      <c r="D33" s="34" t="s">
        <v>91</v>
      </c>
      <c r="E33" s="34"/>
      <c r="F33" s="36">
        <v>0.2</v>
      </c>
      <c r="G33" s="34" t="s">
        <v>90</v>
      </c>
      <c r="H33" s="38">
        <v>4125000</v>
      </c>
    </row>
    <row r="34" spans="3:15" ht="18.5" x14ac:dyDescent="0.45">
      <c r="C34" s="34"/>
      <c r="D34" s="34"/>
      <c r="E34" s="34"/>
      <c r="F34" s="35">
        <f>F33*H33</f>
        <v>825000</v>
      </c>
      <c r="G34" s="34"/>
      <c r="H34" s="34"/>
    </row>
    <row r="35" spans="3:15" ht="18.5" x14ac:dyDescent="0.45">
      <c r="C35" s="34"/>
      <c r="D35" s="41" t="s">
        <v>85</v>
      </c>
      <c r="E35" s="41"/>
      <c r="F35" s="42">
        <f>F34*12</f>
        <v>9900000</v>
      </c>
      <c r="G35" s="34"/>
      <c r="H35" s="34"/>
    </row>
    <row r="38" spans="3:15" ht="18.5" x14ac:dyDescent="0.45">
      <c r="M38" s="34" t="s">
        <v>118</v>
      </c>
      <c r="N38" s="34"/>
      <c r="O38" s="38">
        <v>500000000</v>
      </c>
    </row>
    <row r="39" spans="3:15" ht="18.5" x14ac:dyDescent="0.45">
      <c r="M39" s="34" t="s">
        <v>117</v>
      </c>
      <c r="N39" s="34"/>
      <c r="O39" s="36">
        <v>0.03</v>
      </c>
    </row>
    <row r="40" spans="3:15" ht="18.5" x14ac:dyDescent="0.45">
      <c r="M40" s="41" t="s">
        <v>93</v>
      </c>
      <c r="N40" s="41"/>
      <c r="O40" s="43">
        <f>O38*O39</f>
        <v>15000000</v>
      </c>
    </row>
    <row r="45" spans="3:15" ht="18.5" x14ac:dyDescent="0.45">
      <c r="C45" s="34" t="s">
        <v>92</v>
      </c>
      <c r="D45" s="38">
        <v>24000000</v>
      </c>
      <c r="E45" s="34"/>
    </row>
    <row r="46" spans="3:15" ht="18.5" x14ac:dyDescent="0.45">
      <c r="C46" s="34" t="s">
        <v>95</v>
      </c>
      <c r="D46" s="36">
        <v>0.2</v>
      </c>
      <c r="E46" s="34" t="s">
        <v>94</v>
      </c>
    </row>
    <row r="47" spans="3:15" ht="18.5" x14ac:dyDescent="0.45">
      <c r="C47" s="41" t="s">
        <v>93</v>
      </c>
      <c r="D47" s="42">
        <f>D45*D46</f>
        <v>4800000</v>
      </c>
      <c r="E47" s="34"/>
    </row>
    <row r="48" spans="3:15" ht="18.5" x14ac:dyDescent="0.45">
      <c r="M48" s="34" t="s">
        <v>20</v>
      </c>
      <c r="N48" s="34"/>
      <c r="O48" s="38">
        <v>50000000</v>
      </c>
    </row>
    <row r="49" spans="3:15" ht="18.5" x14ac:dyDescent="0.45">
      <c r="M49" s="34" t="s">
        <v>119</v>
      </c>
      <c r="N49" s="34"/>
      <c r="O49" s="36">
        <v>0.06</v>
      </c>
    </row>
    <row r="50" spans="3:15" ht="18.5" x14ac:dyDescent="0.45">
      <c r="M50" s="34" t="s">
        <v>120</v>
      </c>
      <c r="N50" s="34"/>
      <c r="O50" s="44" t="s">
        <v>122</v>
      </c>
    </row>
    <row r="51" spans="3:15" ht="18.5" x14ac:dyDescent="0.45">
      <c r="M51" s="34" t="s">
        <v>121</v>
      </c>
      <c r="N51" s="34"/>
      <c r="O51" s="36">
        <v>0.2</v>
      </c>
    </row>
    <row r="52" spans="3:15" ht="18.5" x14ac:dyDescent="0.45">
      <c r="M52" s="34"/>
      <c r="N52" s="34"/>
      <c r="O52" s="34"/>
    </row>
    <row r="53" spans="3:15" ht="18.5" x14ac:dyDescent="0.45">
      <c r="M53" s="34" t="s">
        <v>96</v>
      </c>
      <c r="N53" s="34"/>
      <c r="O53" s="35">
        <f>O49*O48</f>
        <v>3000000</v>
      </c>
    </row>
    <row r="54" spans="3:15" ht="18.5" x14ac:dyDescent="0.45">
      <c r="M54" s="34" t="s">
        <v>123</v>
      </c>
      <c r="N54" s="34"/>
      <c r="O54" s="35">
        <f>(3/12)*O53</f>
        <v>750000</v>
      </c>
    </row>
    <row r="55" spans="3:15" ht="18.5" x14ac:dyDescent="0.45">
      <c r="M55" s="34"/>
      <c r="N55" s="34"/>
      <c r="O55" s="34"/>
    </row>
    <row r="56" spans="3:15" ht="18.5" x14ac:dyDescent="0.45">
      <c r="C56" s="34" t="s">
        <v>95</v>
      </c>
      <c r="D56" s="36">
        <v>0.15</v>
      </c>
      <c r="E56" s="34" t="s">
        <v>94</v>
      </c>
      <c r="M56" s="41" t="s">
        <v>93</v>
      </c>
      <c r="N56" s="41"/>
      <c r="O56" s="42">
        <f>O51*O54</f>
        <v>150000</v>
      </c>
    </row>
    <row r="57" spans="3:15" ht="18.5" x14ac:dyDescent="0.45">
      <c r="C57" s="34" t="s">
        <v>96</v>
      </c>
      <c r="D57" s="38">
        <v>11520000</v>
      </c>
      <c r="E57" s="34"/>
    </row>
    <row r="58" spans="3:15" ht="18.5" x14ac:dyDescent="0.45">
      <c r="C58" s="41" t="s">
        <v>93</v>
      </c>
      <c r="D58" s="42">
        <f>D56*D57</f>
        <v>1728000</v>
      </c>
      <c r="E58" s="34"/>
    </row>
    <row r="59" spans="3:15" ht="18.5" x14ac:dyDescent="0.45">
      <c r="C59" s="34"/>
      <c r="D59" s="34"/>
      <c r="E59" s="34"/>
    </row>
    <row r="63" spans="3:15" ht="18.5" x14ac:dyDescent="0.45">
      <c r="M63" s="34" t="s">
        <v>20</v>
      </c>
      <c r="N63" s="34"/>
      <c r="O63" s="38">
        <v>20000000</v>
      </c>
    </row>
    <row r="64" spans="3:15" ht="18.5" x14ac:dyDescent="0.45">
      <c r="M64" s="34" t="s">
        <v>119</v>
      </c>
      <c r="N64" s="34"/>
      <c r="O64" s="36">
        <v>0.09</v>
      </c>
    </row>
    <row r="65" spans="3:15" ht="18.5" x14ac:dyDescent="0.45">
      <c r="M65" s="34" t="s">
        <v>124</v>
      </c>
      <c r="N65" s="34"/>
      <c r="O65" s="45">
        <v>0.01</v>
      </c>
    </row>
    <row r="66" spans="3:15" ht="18.5" x14ac:dyDescent="0.45">
      <c r="M66" s="34" t="s">
        <v>121</v>
      </c>
      <c r="N66" s="34"/>
      <c r="O66" s="36">
        <v>0.2</v>
      </c>
    </row>
    <row r="67" spans="3:15" ht="18.5" x14ac:dyDescent="0.45">
      <c r="M67" s="34"/>
      <c r="N67" s="34"/>
      <c r="O67" s="34"/>
    </row>
    <row r="68" spans="3:15" ht="18.5" x14ac:dyDescent="0.45">
      <c r="M68" s="34" t="s">
        <v>96</v>
      </c>
      <c r="N68" s="34"/>
      <c r="O68" s="35">
        <f>O64*O63</f>
        <v>1800000</v>
      </c>
    </row>
    <row r="69" spans="3:15" ht="18.5" x14ac:dyDescent="0.45">
      <c r="M69" s="34" t="s">
        <v>125</v>
      </c>
      <c r="N69" s="34"/>
      <c r="O69" s="35">
        <f>(2/12)*O68</f>
        <v>300000</v>
      </c>
    </row>
    <row r="70" spans="3:15" ht="18.5" x14ac:dyDescent="0.45">
      <c r="M70" s="34"/>
      <c r="N70" s="34"/>
      <c r="O70" s="34"/>
    </row>
    <row r="71" spans="3:15" ht="18.5" x14ac:dyDescent="0.45">
      <c r="M71" s="41" t="s">
        <v>93</v>
      </c>
      <c r="N71" s="41"/>
      <c r="O71" s="42">
        <f>O66*O69</f>
        <v>60000</v>
      </c>
    </row>
    <row r="72" spans="3:15" ht="18.5" x14ac:dyDescent="0.45">
      <c r="C72" s="37" t="s">
        <v>97</v>
      </c>
      <c r="D72" s="36" t="s">
        <v>78</v>
      </c>
      <c r="E72" s="38">
        <v>450000</v>
      </c>
    </row>
    <row r="73" spans="3:15" ht="18.5" x14ac:dyDescent="0.45">
      <c r="C73" s="34"/>
      <c r="D73" s="34" t="s">
        <v>95</v>
      </c>
      <c r="E73" s="36">
        <v>0.1</v>
      </c>
    </row>
    <row r="74" spans="3:15" ht="18.5" x14ac:dyDescent="0.45">
      <c r="C74" s="34"/>
      <c r="D74" s="34" t="s">
        <v>93</v>
      </c>
      <c r="E74" s="35">
        <f>E72*E73</f>
        <v>45000</v>
      </c>
    </row>
    <row r="75" spans="3:15" ht="18.5" x14ac:dyDescent="0.45">
      <c r="C75" s="34"/>
      <c r="D75" s="34"/>
      <c r="E75" s="34"/>
    </row>
    <row r="76" spans="3:15" ht="18.5" x14ac:dyDescent="0.45">
      <c r="C76" s="37" t="s">
        <v>98</v>
      </c>
      <c r="D76" s="36" t="s">
        <v>78</v>
      </c>
      <c r="E76" s="38">
        <v>220000</v>
      </c>
    </row>
    <row r="77" spans="3:15" ht="18.5" x14ac:dyDescent="0.45">
      <c r="C77" s="34"/>
      <c r="D77" s="34" t="s">
        <v>95</v>
      </c>
      <c r="E77" s="34" t="s">
        <v>99</v>
      </c>
      <c r="F77" s="31"/>
    </row>
    <row r="78" spans="3:15" ht="18.5" x14ac:dyDescent="0.45">
      <c r="C78" s="34"/>
      <c r="D78" s="34" t="s">
        <v>93</v>
      </c>
      <c r="E78" s="35">
        <v>0</v>
      </c>
    </row>
    <row r="79" spans="3:15" ht="18.5" x14ac:dyDescent="0.45">
      <c r="C79" s="34"/>
      <c r="D79" s="34"/>
      <c r="E79" s="34"/>
    </row>
    <row r="80" spans="3:15" ht="18.5" x14ac:dyDescent="0.45">
      <c r="C80" s="37" t="s">
        <v>100</v>
      </c>
      <c r="D80" s="36" t="s">
        <v>78</v>
      </c>
      <c r="E80" s="38">
        <v>600000</v>
      </c>
    </row>
    <row r="81" spans="3:5" ht="18.5" x14ac:dyDescent="0.45">
      <c r="C81" s="34"/>
      <c r="D81" s="34" t="s">
        <v>95</v>
      </c>
      <c r="E81" s="36">
        <v>0.1</v>
      </c>
    </row>
    <row r="82" spans="3:5" ht="18.5" x14ac:dyDescent="0.45">
      <c r="C82" s="34"/>
      <c r="D82" s="34" t="s">
        <v>93</v>
      </c>
      <c r="E82" s="35">
        <f>E80*E81</f>
        <v>60000</v>
      </c>
    </row>
    <row r="83" spans="3:5" ht="18.5" x14ac:dyDescent="0.45">
      <c r="C83" s="34"/>
      <c r="D83" s="34"/>
      <c r="E83" s="34"/>
    </row>
    <row r="84" spans="3:5" ht="18.5" x14ac:dyDescent="0.45">
      <c r="C84" s="41" t="s">
        <v>93</v>
      </c>
      <c r="D84" s="42">
        <f>E74+E82</f>
        <v>105000</v>
      </c>
      <c r="E84" s="34"/>
    </row>
    <row r="91" spans="3:5" ht="18.5" x14ac:dyDescent="0.45">
      <c r="C91" s="34" t="s">
        <v>101</v>
      </c>
      <c r="D91" s="34">
        <v>1500</v>
      </c>
      <c r="E91" s="34" t="s">
        <v>102</v>
      </c>
    </row>
    <row r="92" spans="3:5" ht="18.5" x14ac:dyDescent="0.45">
      <c r="C92" s="34" t="s">
        <v>103</v>
      </c>
      <c r="D92" s="38">
        <v>4000</v>
      </c>
      <c r="E92" s="34"/>
    </row>
    <row r="93" spans="3:5" ht="18.5" x14ac:dyDescent="0.45">
      <c r="C93" s="34" t="s">
        <v>104</v>
      </c>
      <c r="D93" s="38">
        <f>D91*D92</f>
        <v>6000000</v>
      </c>
      <c r="E93" s="34"/>
    </row>
    <row r="94" spans="3:5" ht="18.5" x14ac:dyDescent="0.45">
      <c r="C94" s="41" t="s">
        <v>93</v>
      </c>
      <c r="D94" s="42">
        <f>D93*0.1%</f>
        <v>6000</v>
      </c>
      <c r="E94" s="34" t="s">
        <v>105</v>
      </c>
    </row>
    <row r="95" spans="3:5" ht="18.5" x14ac:dyDescent="0.45">
      <c r="C95" s="34"/>
      <c r="D95" s="34"/>
      <c r="E95" s="34"/>
    </row>
    <row r="100" spans="3:4" ht="18.5" x14ac:dyDescent="0.45">
      <c r="C100" s="34" t="s">
        <v>106</v>
      </c>
      <c r="D100" s="38">
        <v>150000000</v>
      </c>
    </row>
    <row r="101" spans="3:4" ht="18.5" x14ac:dyDescent="0.45">
      <c r="C101" s="34" t="s">
        <v>107</v>
      </c>
      <c r="D101" s="36">
        <v>0.25</v>
      </c>
    </row>
    <row r="102" spans="3:4" ht="18.5" x14ac:dyDescent="0.45">
      <c r="C102" s="41" t="s">
        <v>93</v>
      </c>
      <c r="D102" s="42">
        <f>D101*D100</f>
        <v>37500000</v>
      </c>
    </row>
    <row r="111" spans="3:4" ht="18.5" x14ac:dyDescent="0.45">
      <c r="C111" s="34" t="s">
        <v>108</v>
      </c>
      <c r="D111" s="38">
        <v>900000000</v>
      </c>
    </row>
    <row r="112" spans="3:4" ht="18.5" x14ac:dyDescent="0.45">
      <c r="C112" s="34" t="s">
        <v>109</v>
      </c>
      <c r="D112" s="39">
        <v>2.5000000000000001E-2</v>
      </c>
    </row>
    <row r="113" spans="3:4" ht="18.5" x14ac:dyDescent="0.45">
      <c r="C113" s="41" t="s">
        <v>93</v>
      </c>
      <c r="D113" s="42">
        <f>D111*D112</f>
        <v>22500000</v>
      </c>
    </row>
    <row r="124" spans="3:4" ht="18.5" x14ac:dyDescent="0.45">
      <c r="C124" s="34" t="s">
        <v>110</v>
      </c>
      <c r="D124" s="38">
        <v>100000000</v>
      </c>
    </row>
    <row r="125" spans="3:4" ht="18.5" x14ac:dyDescent="0.45">
      <c r="C125" s="34" t="s">
        <v>109</v>
      </c>
      <c r="D125" s="36">
        <v>0.25</v>
      </c>
    </row>
    <row r="126" spans="3:4" ht="18.5" x14ac:dyDescent="0.45">
      <c r="C126" s="41" t="s">
        <v>93</v>
      </c>
      <c r="D126" s="42">
        <f>D124*D125</f>
        <v>25000000</v>
      </c>
    </row>
    <row r="132" spans="3:5" ht="18.5" x14ac:dyDescent="0.45">
      <c r="C132" s="34" t="s">
        <v>20</v>
      </c>
      <c r="D132" s="38">
        <v>500000000</v>
      </c>
      <c r="E132" s="34"/>
    </row>
    <row r="133" spans="3:5" ht="18.5" x14ac:dyDescent="0.45">
      <c r="C133" s="34" t="s">
        <v>111</v>
      </c>
      <c r="D133" s="36">
        <v>0.05</v>
      </c>
      <c r="E133" s="34" t="s">
        <v>87</v>
      </c>
    </row>
    <row r="134" spans="3:5" ht="18.5" x14ac:dyDescent="0.45">
      <c r="C134" s="34" t="s">
        <v>96</v>
      </c>
      <c r="D134" s="35">
        <f>D132*D133</f>
        <v>25000000</v>
      </c>
      <c r="E134" s="34"/>
    </row>
    <row r="135" spans="3:5" ht="18.5" x14ac:dyDescent="0.45">
      <c r="C135" s="41" t="s">
        <v>93</v>
      </c>
      <c r="D135" s="42">
        <f>D134*20%</f>
        <v>5000000</v>
      </c>
      <c r="E135" s="34" t="s">
        <v>112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opLeftCell="A30" zoomScale="82" workbookViewId="0">
      <selection activeCell="D62" sqref="D62"/>
    </sheetView>
  </sheetViews>
  <sheetFormatPr defaultColWidth="12.6328125" defaultRowHeight="15" customHeight="1" x14ac:dyDescent="0.35"/>
  <cols>
    <col min="1" max="1" width="8.6328125" customWidth="1"/>
    <col min="2" max="2" width="30.08984375" customWidth="1"/>
    <col min="3" max="3" width="40.90625" customWidth="1"/>
    <col min="4" max="4" width="35.08984375" customWidth="1"/>
    <col min="5" max="26" width="8.6328125" customWidth="1"/>
  </cols>
  <sheetData>
    <row r="1" spans="1:4" ht="14.25" customHeight="1" x14ac:dyDescent="0.35"/>
    <row r="2" spans="1:4" ht="14.25" customHeight="1" x14ac:dyDescent="0.35">
      <c r="A2" s="1"/>
      <c r="B2" s="1"/>
      <c r="C2" s="1"/>
      <c r="D2" s="1"/>
    </row>
    <row r="3" spans="1:4" ht="14.25" customHeight="1" x14ac:dyDescent="0.35">
      <c r="A3" s="2"/>
      <c r="B3" s="2" t="s">
        <v>0</v>
      </c>
      <c r="C3" s="2"/>
      <c r="D3" s="2"/>
    </row>
    <row r="4" spans="1:4" ht="14.25" customHeight="1" x14ac:dyDescent="0.35">
      <c r="A4" s="2"/>
      <c r="B4" s="2" t="s">
        <v>1</v>
      </c>
      <c r="C4" s="2" t="s">
        <v>2</v>
      </c>
      <c r="D4" s="2"/>
    </row>
    <row r="5" spans="1:4" ht="14.25" customHeight="1" x14ac:dyDescent="0.35">
      <c r="A5" s="2"/>
      <c r="B5" s="2" t="s">
        <v>3</v>
      </c>
      <c r="C5" s="2" t="s">
        <v>4</v>
      </c>
      <c r="D5" s="2"/>
    </row>
    <row r="6" spans="1:4" ht="14.25" customHeight="1" x14ac:dyDescent="0.35">
      <c r="A6" s="2"/>
      <c r="B6" s="2" t="s">
        <v>5</v>
      </c>
      <c r="C6" s="2">
        <v>10694743451000</v>
      </c>
      <c r="D6" s="2"/>
    </row>
    <row r="7" spans="1:4" ht="14.25" customHeight="1" x14ac:dyDescent="0.35">
      <c r="A7" s="2"/>
      <c r="B7" s="2" t="s">
        <v>6</v>
      </c>
      <c r="C7" s="2" t="s">
        <v>7</v>
      </c>
      <c r="D7" s="2"/>
    </row>
    <row r="8" spans="1:4" ht="14.25" customHeight="1" x14ac:dyDescent="0.35">
      <c r="A8" s="2"/>
      <c r="B8" s="2" t="s">
        <v>8</v>
      </c>
      <c r="C8" s="2" t="s">
        <v>9</v>
      </c>
      <c r="D8" s="2"/>
    </row>
    <row r="9" spans="1:4" ht="14.25" customHeight="1" x14ac:dyDescent="0.35">
      <c r="A9" s="2"/>
      <c r="B9" s="2" t="s">
        <v>10</v>
      </c>
      <c r="C9" s="2" t="s">
        <v>11</v>
      </c>
      <c r="D9" s="2"/>
    </row>
    <row r="10" spans="1:4" ht="14.25" customHeight="1" x14ac:dyDescent="0.35">
      <c r="A10" s="2"/>
      <c r="B10" s="2"/>
      <c r="C10" s="2"/>
      <c r="D10" s="2"/>
    </row>
    <row r="11" spans="1:4" ht="14.25" customHeight="1" x14ac:dyDescent="0.35">
      <c r="A11" s="25" t="s">
        <v>12</v>
      </c>
      <c r="B11" s="26"/>
      <c r="C11" s="26"/>
      <c r="D11" s="27"/>
    </row>
    <row r="12" spans="1:4" ht="14.25" customHeight="1" x14ac:dyDescent="0.35">
      <c r="A12" s="3" t="s">
        <v>13</v>
      </c>
      <c r="B12" s="4" t="s">
        <v>14</v>
      </c>
      <c r="C12" s="4" t="s">
        <v>15</v>
      </c>
      <c r="D12" s="4" t="s">
        <v>16</v>
      </c>
    </row>
    <row r="13" spans="1:4" ht="14.25" customHeight="1" x14ac:dyDescent="0.35">
      <c r="A13" s="3">
        <v>1</v>
      </c>
      <c r="B13" s="3" t="s">
        <v>17</v>
      </c>
      <c r="C13" s="4">
        <v>2006</v>
      </c>
      <c r="D13" s="5">
        <v>650000000</v>
      </c>
    </row>
    <row r="14" spans="1:4" ht="14.25" customHeight="1" x14ac:dyDescent="0.35">
      <c r="A14" s="3">
        <v>2</v>
      </c>
      <c r="B14" s="3" t="s">
        <v>18</v>
      </c>
      <c r="C14" s="4">
        <v>2015</v>
      </c>
      <c r="D14" s="5">
        <v>500000000</v>
      </c>
    </row>
    <row r="15" spans="1:4" ht="14.25" customHeight="1" x14ac:dyDescent="0.35">
      <c r="A15" s="3">
        <v>3</v>
      </c>
      <c r="B15" s="3" t="s">
        <v>19</v>
      </c>
      <c r="C15" s="4">
        <v>2017</v>
      </c>
      <c r="D15" s="5">
        <v>34500000</v>
      </c>
    </row>
    <row r="16" spans="1:4" ht="14.25" customHeight="1" x14ac:dyDescent="0.35">
      <c r="A16" s="3">
        <v>4</v>
      </c>
      <c r="B16" s="3" t="s">
        <v>20</v>
      </c>
      <c r="C16" s="4">
        <v>2023</v>
      </c>
      <c r="D16" s="5" t="s">
        <v>21</v>
      </c>
    </row>
    <row r="17" spans="1:4" ht="14.25" customHeight="1" x14ac:dyDescent="0.35">
      <c r="A17" s="3">
        <v>5</v>
      </c>
      <c r="B17" s="3" t="s">
        <v>22</v>
      </c>
      <c r="C17" s="4">
        <v>2023</v>
      </c>
      <c r="D17" s="5" t="s">
        <v>23</v>
      </c>
    </row>
    <row r="18" spans="1:4" ht="14.25" customHeight="1" x14ac:dyDescent="0.35">
      <c r="A18" s="6"/>
      <c r="B18" s="6"/>
      <c r="C18" s="7"/>
      <c r="D18" s="8"/>
    </row>
    <row r="19" spans="1:4" ht="14.25" customHeight="1" x14ac:dyDescent="0.35">
      <c r="A19" s="28" t="s">
        <v>24</v>
      </c>
      <c r="B19" s="26"/>
      <c r="C19" s="26"/>
      <c r="D19" s="27"/>
    </row>
    <row r="20" spans="1:4" ht="14.25" customHeight="1" x14ac:dyDescent="0.35">
      <c r="A20" s="9" t="s">
        <v>13</v>
      </c>
      <c r="B20" s="9" t="s">
        <v>25</v>
      </c>
      <c r="C20" s="9" t="s">
        <v>15</v>
      </c>
      <c r="D20" s="9" t="s">
        <v>26</v>
      </c>
    </row>
    <row r="21" spans="1:4" ht="14.25" customHeight="1" x14ac:dyDescent="0.35">
      <c r="A21" s="9">
        <v>1</v>
      </c>
      <c r="B21" s="9" t="s">
        <v>27</v>
      </c>
      <c r="C21" s="10">
        <v>2014</v>
      </c>
      <c r="D21" s="9" t="s">
        <v>28</v>
      </c>
    </row>
    <row r="22" spans="1:4" ht="14.25" customHeight="1" x14ac:dyDescent="0.35">
      <c r="A22" s="9">
        <v>2</v>
      </c>
      <c r="B22" s="9" t="s">
        <v>29</v>
      </c>
      <c r="C22" s="10">
        <v>2015</v>
      </c>
      <c r="D22" s="9" t="s">
        <v>30</v>
      </c>
    </row>
    <row r="23" spans="1:4" ht="14.25" customHeight="1" x14ac:dyDescent="0.35">
      <c r="A23" s="11"/>
      <c r="B23" s="11"/>
      <c r="C23" s="12"/>
      <c r="D23" s="13"/>
    </row>
    <row r="24" spans="1:4" ht="14.25" customHeight="1" x14ac:dyDescent="0.35">
      <c r="A24" s="11"/>
      <c r="B24" s="11"/>
      <c r="C24" s="12"/>
      <c r="D24" s="13"/>
    </row>
    <row r="25" spans="1:4" ht="14.25" customHeight="1" x14ac:dyDescent="0.35">
      <c r="A25" s="10" t="s">
        <v>13</v>
      </c>
      <c r="B25" s="10" t="s">
        <v>31</v>
      </c>
      <c r="C25" s="10" t="s">
        <v>32</v>
      </c>
      <c r="D25" s="10" t="s">
        <v>33</v>
      </c>
    </row>
    <row r="26" spans="1:4" ht="14.25" customHeight="1" x14ac:dyDescent="0.35">
      <c r="A26" s="10">
        <v>1</v>
      </c>
      <c r="B26" s="14" t="s">
        <v>2</v>
      </c>
      <c r="C26" s="15">
        <v>65000</v>
      </c>
      <c r="D26" s="14" t="s">
        <v>34</v>
      </c>
    </row>
    <row r="27" spans="1:4" ht="14.25" customHeight="1" x14ac:dyDescent="0.35">
      <c r="A27" s="10">
        <v>2</v>
      </c>
      <c r="B27" s="14" t="s">
        <v>35</v>
      </c>
      <c r="C27" s="15" t="s">
        <v>36</v>
      </c>
      <c r="D27" s="14" t="s">
        <v>37</v>
      </c>
    </row>
    <row r="28" spans="1:4" ht="14.25" customHeight="1" x14ac:dyDescent="0.35">
      <c r="A28" s="10">
        <v>3</v>
      </c>
      <c r="B28" s="14" t="s">
        <v>38</v>
      </c>
      <c r="C28" s="15" t="s">
        <v>39</v>
      </c>
      <c r="D28" s="14" t="s">
        <v>40</v>
      </c>
    </row>
    <row r="29" spans="1:4" ht="14.25" customHeight="1" x14ac:dyDescent="0.35">
      <c r="A29" s="10">
        <v>4</v>
      </c>
      <c r="B29" s="14" t="s">
        <v>41</v>
      </c>
      <c r="C29" s="15" t="s">
        <v>42</v>
      </c>
      <c r="D29" s="14" t="s">
        <v>40</v>
      </c>
    </row>
    <row r="30" spans="1:4" ht="14.25" customHeight="1" x14ac:dyDescent="0.35">
      <c r="A30" s="10">
        <v>4</v>
      </c>
      <c r="B30" s="14" t="s">
        <v>43</v>
      </c>
      <c r="C30" s="15" t="s">
        <v>44</v>
      </c>
      <c r="D30" s="14" t="s">
        <v>40</v>
      </c>
    </row>
    <row r="31" spans="1:4" ht="14.25" customHeight="1" x14ac:dyDescent="0.35">
      <c r="A31" s="6"/>
      <c r="B31" s="6"/>
      <c r="C31" s="7"/>
      <c r="D31" s="8"/>
    </row>
    <row r="32" spans="1:4" ht="14.25" customHeight="1" x14ac:dyDescent="0.35">
      <c r="A32" s="29" t="s">
        <v>45</v>
      </c>
      <c r="B32" s="30"/>
      <c r="C32" s="30"/>
      <c r="D32" s="8"/>
    </row>
    <row r="33" spans="1:4" ht="14.25" customHeight="1" x14ac:dyDescent="0.35">
      <c r="A33" s="6"/>
      <c r="B33" s="6"/>
      <c r="C33" s="7"/>
      <c r="D33" s="8"/>
    </row>
    <row r="34" spans="1:4" ht="14.25" customHeight="1" x14ac:dyDescent="0.35">
      <c r="A34" s="2"/>
      <c r="B34" s="16" t="s">
        <v>46</v>
      </c>
      <c r="C34" s="2"/>
      <c r="D34" s="2"/>
    </row>
    <row r="35" spans="1:4" ht="14.25" customHeight="1" x14ac:dyDescent="0.35">
      <c r="A35" s="2"/>
      <c r="B35" s="16" t="s">
        <v>47</v>
      </c>
      <c r="C35" s="2"/>
      <c r="D35" s="2"/>
    </row>
    <row r="36" spans="1:4" ht="14.25" customHeight="1" x14ac:dyDescent="0.35">
      <c r="A36" s="2"/>
      <c r="B36" s="16" t="s">
        <v>48</v>
      </c>
      <c r="C36" s="2"/>
      <c r="D36" s="2"/>
    </row>
    <row r="37" spans="1:4" ht="14.25" customHeight="1" x14ac:dyDescent="0.35">
      <c r="A37" s="2"/>
      <c r="B37" s="2"/>
      <c r="C37" s="2"/>
      <c r="D37" s="2"/>
    </row>
    <row r="38" spans="1:4" ht="14.25" customHeight="1" x14ac:dyDescent="0.35">
      <c r="A38" s="2"/>
      <c r="B38" s="16" t="s">
        <v>49</v>
      </c>
      <c r="C38" s="17"/>
      <c r="D38" s="17">
        <v>6900000000</v>
      </c>
    </row>
    <row r="39" spans="1:4" ht="14.25" customHeight="1" x14ac:dyDescent="0.35">
      <c r="A39" s="2"/>
      <c r="B39" s="2"/>
      <c r="C39" s="17"/>
      <c r="D39" s="17"/>
    </row>
    <row r="40" spans="1:4" ht="14.25" customHeight="1" x14ac:dyDescent="0.35">
      <c r="A40" s="2"/>
      <c r="B40" s="16" t="s">
        <v>50</v>
      </c>
      <c r="C40" s="17"/>
      <c r="D40" s="17"/>
    </row>
    <row r="41" spans="1:4" ht="14.25" customHeight="1" x14ac:dyDescent="0.35">
      <c r="A41" s="2"/>
      <c r="B41" s="2" t="s">
        <v>51</v>
      </c>
      <c r="C41" s="17">
        <v>980000000</v>
      </c>
      <c r="D41" s="17"/>
    </row>
    <row r="42" spans="1:4" ht="14.25" customHeight="1" x14ac:dyDescent="0.35">
      <c r="A42" s="2"/>
      <c r="B42" s="2" t="s">
        <v>52</v>
      </c>
      <c r="C42" s="18">
        <v>4987000000</v>
      </c>
      <c r="D42" s="17"/>
    </row>
    <row r="43" spans="1:4" ht="14.25" customHeight="1" x14ac:dyDescent="0.35">
      <c r="A43" s="2"/>
      <c r="B43" s="2" t="s">
        <v>53</v>
      </c>
      <c r="C43" s="17">
        <f>C41+C42</f>
        <v>5967000000</v>
      </c>
      <c r="D43" s="17"/>
    </row>
    <row r="44" spans="1:4" ht="14.25" customHeight="1" x14ac:dyDescent="0.35">
      <c r="A44" s="2"/>
      <c r="B44" s="2" t="s">
        <v>54</v>
      </c>
      <c r="C44" s="18">
        <v>2765000000</v>
      </c>
      <c r="D44" s="17"/>
    </row>
    <row r="45" spans="1:4" ht="14.25" customHeight="1" x14ac:dyDescent="0.35">
      <c r="A45" s="2"/>
      <c r="B45" s="16" t="s">
        <v>50</v>
      </c>
      <c r="C45" s="17"/>
      <c r="D45" s="18">
        <f>C43-C44</f>
        <v>3202000000</v>
      </c>
    </row>
    <row r="46" spans="1:4" ht="14.25" customHeight="1" x14ac:dyDescent="0.35">
      <c r="A46" s="2"/>
      <c r="B46" s="2"/>
      <c r="C46" s="17"/>
      <c r="D46" s="17"/>
    </row>
    <row r="47" spans="1:4" ht="14.25" customHeight="1" x14ac:dyDescent="0.35">
      <c r="A47" s="2"/>
      <c r="B47" s="16" t="s">
        <v>55</v>
      </c>
      <c r="C47" s="17"/>
      <c r="D47" s="17">
        <f>D38-D45</f>
        <v>3698000000</v>
      </c>
    </row>
    <row r="48" spans="1:4" ht="14.25" customHeight="1" x14ac:dyDescent="0.35">
      <c r="A48" s="2"/>
      <c r="B48" s="2"/>
      <c r="C48" s="17"/>
      <c r="D48" s="17"/>
    </row>
    <row r="49" spans="1:5" ht="14.25" customHeight="1" x14ac:dyDescent="0.35">
      <c r="A49" s="2"/>
      <c r="B49" s="16" t="s">
        <v>56</v>
      </c>
      <c r="C49" s="17"/>
      <c r="D49" s="17"/>
    </row>
    <row r="50" spans="1:5" ht="14.25" customHeight="1" x14ac:dyDescent="0.35">
      <c r="A50" s="2"/>
      <c r="B50" s="2" t="s">
        <v>57</v>
      </c>
      <c r="C50" s="17">
        <v>1900000000</v>
      </c>
      <c r="D50" s="17"/>
    </row>
    <row r="51" spans="1:5" ht="14.25" customHeight="1" x14ac:dyDescent="0.35">
      <c r="A51" s="2"/>
      <c r="B51" s="2" t="s">
        <v>58</v>
      </c>
      <c r="C51" s="17">
        <v>1567000</v>
      </c>
      <c r="D51" s="17"/>
    </row>
    <row r="52" spans="1:5" ht="14.25" customHeight="1" x14ac:dyDescent="0.35">
      <c r="A52" s="2"/>
      <c r="B52" s="2" t="s">
        <v>59</v>
      </c>
      <c r="C52" s="17">
        <v>2345000</v>
      </c>
      <c r="D52" s="17"/>
    </row>
    <row r="53" spans="1:5" ht="14.25" customHeight="1" x14ac:dyDescent="0.35">
      <c r="A53" s="2"/>
      <c r="B53" s="2" t="s">
        <v>60</v>
      </c>
      <c r="C53" s="17">
        <v>567000000</v>
      </c>
      <c r="D53" s="17"/>
    </row>
    <row r="54" spans="1:5" ht="14.25" customHeight="1" x14ac:dyDescent="0.35">
      <c r="A54" s="2"/>
      <c r="B54" s="2" t="s">
        <v>61</v>
      </c>
      <c r="C54" s="18">
        <v>769000000</v>
      </c>
      <c r="D54" s="17"/>
    </row>
    <row r="55" spans="1:5" ht="14.25" customHeight="1" x14ac:dyDescent="0.35">
      <c r="A55" s="2"/>
      <c r="B55" s="16" t="s">
        <v>62</v>
      </c>
      <c r="C55" s="17"/>
      <c r="D55" s="18">
        <f>SUM(C50:C54)</f>
        <v>3239912000</v>
      </c>
    </row>
    <row r="56" spans="1:5" ht="14.25" customHeight="1" x14ac:dyDescent="0.35">
      <c r="A56" s="2"/>
      <c r="B56" s="2"/>
      <c r="C56" s="17"/>
      <c r="D56" s="17"/>
    </row>
    <row r="57" spans="1:5" ht="14.25" customHeight="1" x14ac:dyDescent="0.35">
      <c r="A57" s="2"/>
      <c r="B57" s="16" t="s">
        <v>63</v>
      </c>
      <c r="C57" s="17"/>
      <c r="D57" s="17">
        <f>D47-D55</f>
        <v>458088000</v>
      </c>
    </row>
    <row r="58" spans="1:5" ht="14.25" customHeight="1" x14ac:dyDescent="0.35">
      <c r="A58" s="2"/>
      <c r="B58" s="2" t="s">
        <v>64</v>
      </c>
      <c r="C58" s="17"/>
      <c r="D58" s="18">
        <v>87900000</v>
      </c>
    </row>
    <row r="59" spans="1:5" ht="14.25" customHeight="1" x14ac:dyDescent="0.35">
      <c r="A59" s="2"/>
      <c r="B59" s="16" t="s">
        <v>65</v>
      </c>
      <c r="C59" s="17"/>
      <c r="D59" s="17">
        <f>D57+D58</f>
        <v>545988000</v>
      </c>
    </row>
    <row r="60" spans="1:5" ht="14.25" customHeight="1" x14ac:dyDescent="0.35">
      <c r="A60" s="2"/>
      <c r="B60" s="2" t="s">
        <v>66</v>
      </c>
      <c r="C60" s="17"/>
      <c r="D60" s="19">
        <v>87497000</v>
      </c>
    </row>
    <row r="61" spans="1:5" ht="14.25" customHeight="1" x14ac:dyDescent="0.35">
      <c r="A61" s="2"/>
      <c r="B61" s="20" t="s">
        <v>65</v>
      </c>
      <c r="C61" s="21"/>
      <c r="D61" s="22">
        <f>D59-D60</f>
        <v>458491000</v>
      </c>
    </row>
    <row r="62" spans="1:5" ht="14.25" customHeight="1" x14ac:dyDescent="0.35"/>
    <row r="63" spans="1:5" ht="14.25" customHeight="1" x14ac:dyDescent="0.35"/>
    <row r="64" spans="1:5" ht="14.25" customHeight="1" x14ac:dyDescent="0.35">
      <c r="A64" s="31"/>
      <c r="B64" s="31" t="s">
        <v>67</v>
      </c>
      <c r="C64" s="31"/>
      <c r="D64" s="31"/>
      <c r="E64" s="31"/>
    </row>
    <row r="65" spans="1:5" ht="14.25" customHeight="1" x14ac:dyDescent="0.35">
      <c r="A65" s="31"/>
      <c r="B65" s="31"/>
      <c r="C65" s="31" t="s">
        <v>68</v>
      </c>
      <c r="D65" s="31" t="s">
        <v>69</v>
      </c>
      <c r="E65" s="31"/>
    </row>
    <row r="66" spans="1:5" ht="14.25" customHeight="1" x14ac:dyDescent="0.35">
      <c r="A66" s="31">
        <v>1</v>
      </c>
      <c r="B66" s="31" t="s">
        <v>70</v>
      </c>
      <c r="C66" s="31" t="s">
        <v>71</v>
      </c>
      <c r="D66" s="32">
        <f>350000000*12%</f>
        <v>42000000</v>
      </c>
      <c r="E66" s="31" t="s">
        <v>72</v>
      </c>
    </row>
    <row r="67" spans="1:5" ht="14.25" customHeight="1" x14ac:dyDescent="0.35">
      <c r="A67" s="31">
        <v>2</v>
      </c>
      <c r="B67" s="31" t="s">
        <v>73</v>
      </c>
      <c r="C67" s="31" t="s">
        <v>23</v>
      </c>
      <c r="D67" s="32">
        <f>50000000*10%</f>
        <v>5000000</v>
      </c>
      <c r="E67" s="31" t="s">
        <v>72</v>
      </c>
    </row>
    <row r="68" spans="1:5" ht="14.25" customHeight="1" x14ac:dyDescent="0.35"/>
    <row r="69" spans="1:5" ht="14.25" customHeight="1" x14ac:dyDescent="0.35">
      <c r="B69" s="23" t="s">
        <v>74</v>
      </c>
    </row>
    <row r="70" spans="1:5" ht="14.25" customHeight="1" x14ac:dyDescent="0.35">
      <c r="B70" s="24" t="s">
        <v>75</v>
      </c>
    </row>
    <row r="71" spans="1:5" ht="14.25" customHeight="1" x14ac:dyDescent="0.35"/>
    <row r="72" spans="1:5" ht="14.25" customHeight="1" x14ac:dyDescent="0.35"/>
    <row r="73" spans="1:5" ht="14.25" customHeight="1" x14ac:dyDescent="0.35"/>
    <row r="74" spans="1:5" ht="14.25" customHeight="1" x14ac:dyDescent="0.35"/>
    <row r="75" spans="1:5" ht="14.25" customHeight="1" x14ac:dyDescent="0.35"/>
    <row r="76" spans="1:5" ht="14.25" customHeight="1" x14ac:dyDescent="0.35"/>
    <row r="77" spans="1:5" ht="14.25" customHeight="1" x14ac:dyDescent="0.35"/>
    <row r="78" spans="1:5" ht="14.25" customHeight="1" x14ac:dyDescent="0.35"/>
    <row r="79" spans="1:5" ht="14.25" customHeight="1" x14ac:dyDescent="0.35"/>
    <row r="80" spans="1:5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3">
    <mergeCell ref="A11:D11"/>
    <mergeCell ref="A19:D19"/>
    <mergeCell ref="A32:C3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 2 </vt:lpstr>
      <vt:lpstr>SOAL SPT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NELSI WISNA</dc:creator>
  <cp:lastModifiedBy>BILQIS NAILAH FAUZIYYAH</cp:lastModifiedBy>
  <dcterms:created xsi:type="dcterms:W3CDTF">2026-03-04T01:36:25Z</dcterms:created>
  <dcterms:modified xsi:type="dcterms:W3CDTF">2026-03-04T09:37:39Z</dcterms:modified>
</cp:coreProperties>
</file>