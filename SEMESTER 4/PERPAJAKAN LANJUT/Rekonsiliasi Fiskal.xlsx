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ILQIS NA'ILAH F\Documents\SUBJECT\SEMESTER 4\PERPAJAKAN LANJUT\"/>
    </mc:Choice>
  </mc:AlternateContent>
  <xr:revisionPtr revIDLastSave="0" documentId="13_ncr:1_{438C3EEA-BE99-4DA0-B30D-EE97E3E4CA54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LATIHAN 1" sheetId="1" r:id="rId1"/>
    <sheet name="LATIHAN 2" sheetId="2" r:id="rId2"/>
    <sheet name="REKONSILIAS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ZzPsZtycXupgN3IA2ogce2p8AVpTUKSeS57wW3zTK54="/>
    </ext>
  </extLst>
</workbook>
</file>

<file path=xl/calcChain.xml><?xml version="1.0" encoding="utf-8"?>
<calcChain xmlns="http://schemas.openxmlformats.org/spreadsheetml/2006/main">
  <c r="D54" i="3" l="1"/>
  <c r="F61" i="3"/>
  <c r="D53" i="3"/>
  <c r="D52" i="3"/>
  <c r="D51" i="3"/>
  <c r="C49" i="3"/>
  <c r="C48" i="3"/>
  <c r="C47" i="3"/>
  <c r="C46" i="3"/>
  <c r="D45" i="3"/>
  <c r="D44" i="3"/>
  <c r="C44" i="3"/>
  <c r="D43" i="3"/>
  <c r="D42" i="3"/>
  <c r="C42" i="3"/>
  <c r="D41" i="3"/>
  <c r="D40" i="3"/>
  <c r="D39" i="3"/>
  <c r="D38" i="3"/>
  <c r="D37" i="3"/>
  <c r="D36" i="3"/>
  <c r="D35" i="3"/>
  <c r="C35" i="3"/>
  <c r="D34" i="3"/>
  <c r="D33" i="3"/>
  <c r="D32" i="3"/>
  <c r="C32" i="3"/>
  <c r="D29" i="3"/>
  <c r="C26" i="3"/>
  <c r="D26" i="3" s="1"/>
  <c r="C25" i="3"/>
  <c r="D25" i="3"/>
  <c r="D31" i="3"/>
  <c r="D30" i="3"/>
  <c r="C29" i="3"/>
  <c r="D27" i="3"/>
  <c r="D28" i="3"/>
  <c r="D24" i="3"/>
  <c r="D23" i="3"/>
  <c r="D22" i="3"/>
  <c r="D21" i="3"/>
  <c r="D20" i="3"/>
  <c r="D17" i="3"/>
  <c r="D16" i="3"/>
  <c r="D15" i="3"/>
  <c r="D14" i="3"/>
  <c r="D13" i="3"/>
  <c r="D10" i="3"/>
  <c r="D9" i="3"/>
  <c r="D7" i="3"/>
  <c r="D52" i="2"/>
  <c r="D40" i="2"/>
  <c r="D33" i="2"/>
  <c r="D34" i="2"/>
  <c r="D35" i="2"/>
  <c r="D36" i="2"/>
  <c r="D37" i="2"/>
  <c r="D38" i="2"/>
  <c r="D41" i="2"/>
  <c r="D42" i="2"/>
  <c r="D43" i="2"/>
  <c r="D44" i="2"/>
  <c r="D45" i="2"/>
  <c r="D46" i="2"/>
  <c r="D47" i="2"/>
  <c r="D48" i="2"/>
  <c r="D49" i="2"/>
  <c r="D50" i="2"/>
  <c r="D51" i="2"/>
  <c r="C51" i="2"/>
  <c r="C49" i="2"/>
  <c r="C48" i="2"/>
  <c r="C42" i="2"/>
  <c r="C40" i="2"/>
  <c r="C39" i="2"/>
  <c r="C38" i="2"/>
  <c r="C35" i="2"/>
  <c r="D29" i="2"/>
  <c r="C28" i="2"/>
  <c r="D27" i="2"/>
  <c r="D26" i="2"/>
  <c r="D25" i="2"/>
  <c r="C25" i="2"/>
  <c r="D24" i="2"/>
  <c r="C24" i="2"/>
  <c r="D23" i="2"/>
  <c r="D22" i="2"/>
  <c r="D21" i="2"/>
  <c r="D20" i="2"/>
  <c r="D19" i="2"/>
  <c r="D18" i="2"/>
  <c r="D15" i="2"/>
  <c r="D14" i="2"/>
  <c r="D13" i="2"/>
  <c r="D12" i="2"/>
  <c r="D11" i="2"/>
  <c r="D8" i="2"/>
  <c r="D7" i="2"/>
  <c r="D5" i="2"/>
  <c r="F32" i="1"/>
  <c r="E32" i="1"/>
  <c r="F27" i="1"/>
  <c r="E27" i="1"/>
  <c r="E30" i="1"/>
  <c r="F22" i="1"/>
  <c r="E22" i="1"/>
  <c r="E25" i="1"/>
  <c r="F17" i="1"/>
  <c r="E17" i="1"/>
  <c r="E20" i="1"/>
  <c r="F13" i="1"/>
  <c r="F2" i="1"/>
  <c r="E2" i="1"/>
  <c r="E11" i="1"/>
  <c r="D15" i="1"/>
  <c r="D34" i="1"/>
  <c r="E8" i="1"/>
  <c r="F8" i="1" s="1"/>
  <c r="E6" i="1"/>
  <c r="B51" i="3"/>
  <c r="B16" i="3"/>
  <c r="B10" i="3"/>
  <c r="B17" i="3" s="1"/>
  <c r="B52" i="3" s="1"/>
  <c r="G9" i="3"/>
  <c r="C33" i="1"/>
  <c r="E5" i="1"/>
  <c r="B53" i="3" l="1"/>
  <c r="B54" i="3"/>
</calcChain>
</file>

<file path=xl/sharedStrings.xml><?xml version="1.0" encoding="utf-8"?>
<sst xmlns="http://schemas.openxmlformats.org/spreadsheetml/2006/main" count="174" uniqueCount="112">
  <si>
    <t>No</t>
  </si>
  <si>
    <t>Keterangan</t>
  </si>
  <si>
    <t>Komersial</t>
  </si>
  <si>
    <t>Koreksi Fiskal</t>
  </si>
  <si>
    <t>Fiskal</t>
  </si>
  <si>
    <t>NILAI</t>
  </si>
  <si>
    <t>Biaya Telpon</t>
  </si>
  <si>
    <t>positif</t>
  </si>
  <si>
    <t>Rincian :</t>
  </si>
  <si>
    <t>Operasional</t>
  </si>
  <si>
    <t>Pulsa direktur</t>
  </si>
  <si>
    <t>Handphone direktur</t>
  </si>
  <si>
    <t>Biaya Perjalanan</t>
  </si>
  <si>
    <t>Biaya dialas bukti</t>
  </si>
  <si>
    <t>Biaya tidak dialas bukti</t>
  </si>
  <si>
    <t>PBB (pajak bumi dan bangunan)</t>
  </si>
  <si>
    <t>BUKTI DOKUMEN</t>
  </si>
  <si>
    <t>SUMBANGAN</t>
  </si>
  <si>
    <t>BENCANA NASIONAL</t>
  </si>
  <si>
    <t>KELURAHAN SETEMPAT</t>
  </si>
  <si>
    <t>GAJI DAN UPAH</t>
  </si>
  <si>
    <t>Gaji Pegawai</t>
  </si>
  <si>
    <t>Gaji Pemegang Saham/ Pemilik</t>
  </si>
  <si>
    <t>Biaya Makan Karyawan</t>
  </si>
  <si>
    <t>Pemberian dalam bentuk makan disajikan dalam perusahaan</t>
  </si>
  <si>
    <t>Makan di restoran</t>
  </si>
  <si>
    <t>Biaya Pengobatan</t>
  </si>
  <si>
    <t>Biaya untuk pengobatan Cuma-Cuma masyarakat</t>
  </si>
  <si>
    <t>LAPORAN LABA RUGI</t>
  </si>
  <si>
    <t>PT. SEMESTA</t>
  </si>
  <si>
    <t>PER 31 DESEMBER 2020</t>
  </si>
  <si>
    <t>Perkiraan/ Akun</t>
  </si>
  <si>
    <t>AKUNTANSI</t>
  </si>
  <si>
    <t>KOREKSI FISKAL</t>
  </si>
  <si>
    <t>FISKAL</t>
  </si>
  <si>
    <t>Penjualan Bruto</t>
  </si>
  <si>
    <t>Retur Penjualan</t>
  </si>
  <si>
    <t>Diskon Penjualan</t>
  </si>
  <si>
    <t>Penjualan Netto</t>
  </si>
  <si>
    <t>Harga Pokok Penjualan :</t>
  </si>
  <si>
    <t>Persediaan Barang Dagang Awal</t>
  </si>
  <si>
    <t>Pembelian Barang Dagang</t>
  </si>
  <si>
    <t>Persediaan barang Dagang Akhir</t>
  </si>
  <si>
    <t>Harga Pokok Penjualan</t>
  </si>
  <si>
    <t>Laba Bruto</t>
  </si>
  <si>
    <t>Biaya Pemasaran :</t>
  </si>
  <si>
    <t>Gaji dan Bonus Pegawai Tetap (terdapat pembagian beras secara Cuma-Cuma ke karyawan Rp. 3.600.000)</t>
  </si>
  <si>
    <t>Penggantian Pengobatan</t>
  </si>
  <si>
    <t>Pemberian Kupon Makan Siang (berlaku utk semua karywan)</t>
  </si>
  <si>
    <t>Pendidikan Karyawan (terdapat biaya pendidikan S2 istri direktur Rp. 11.000.000)</t>
  </si>
  <si>
    <t>Promosi dan Iklan (biaya promosi yang tidak dialas dg bukti Rp. 12.520.000)</t>
  </si>
  <si>
    <t>Jamuan Makan yang disertai dengan bukti-bukti</t>
  </si>
  <si>
    <t>Telepon, air dan listrik (terdapat biaya pulsa  telpon marketing dan direktur Rp. 3.400.000)</t>
  </si>
  <si>
    <t>perbaikan mobil dinas manager marketing</t>
  </si>
  <si>
    <t>Perjalanan Dinas (termasuk perjalanan istri direktur Rp. 43.200.000)</t>
  </si>
  <si>
    <t>Kerugian penjualan mobil dinas marketing</t>
  </si>
  <si>
    <t>Penyusutan</t>
  </si>
  <si>
    <t>Total Biaya Pemasaran</t>
  </si>
  <si>
    <t>Biaya Umum dan Administrasi :</t>
  </si>
  <si>
    <t>Gaji dan Bonus Pegawai Tetap (terdapat pembagian beras secara Cuma-Cuma ke karyawan Rp. 2.890.000)</t>
  </si>
  <si>
    <t>Honorarium dan komisi pegawai tidak tetap</t>
  </si>
  <si>
    <t>Pengobatan Gratis bagi karyawan</t>
  </si>
  <si>
    <t>Pemberian makan siang (berlaku utk semua karyawan) dan diberikan ditempat kerja</t>
  </si>
  <si>
    <t>Pakaian  Pegawai Lapangan dan satpam pabrik</t>
  </si>
  <si>
    <t>Telepon, air dan listrik (dalam biaya telpon ada pemakaian direktur dan marketing Rp. 18.100.000)</t>
  </si>
  <si>
    <t>Biaya pembelian kendaraan dinas untuk direktur administrasi dan umum</t>
  </si>
  <si>
    <t>Pemeliharaan Gedung</t>
  </si>
  <si>
    <t>Pemeliharaan kendaraan operasional (terdapat perbaikan mobil dinas manager administrasi dan umum Rp. 2.900.000)</t>
  </si>
  <si>
    <t>Alat tulis kantor</t>
  </si>
  <si>
    <t>Pendidikan karyawan (terdapat tagihan biaya Bimbingan Belajar anak direktur Rp. 12.300.000)</t>
  </si>
  <si>
    <t>bea balik nama kendaraan bermotor (BBNKB) minibus yang digunakan untuk antar jemput karyawan</t>
  </si>
  <si>
    <t>Jamuan Makan Tamu (dokumen lengkap)</t>
  </si>
  <si>
    <t>Sumbangan melalui BAZNAS</t>
  </si>
  <si>
    <t>Sumbangan pembuatan jalan umum untuk masyarakat</t>
  </si>
  <si>
    <t>Pajak Penghasilan</t>
  </si>
  <si>
    <t>PBB (Pajak Bumi dan Bangunan)</t>
  </si>
  <si>
    <t>Pakaian seragam (kegiatan ulang tahun kantor)</t>
  </si>
  <si>
    <t>Total Biaya Umum dan Administrasi</t>
  </si>
  <si>
    <t>LABA OPERASI SEBELUM PAJAK</t>
  </si>
  <si>
    <t>PT. BANDUNG DAYEUH KOLOT</t>
  </si>
  <si>
    <t>PER 31 DESEMBER 2018</t>
  </si>
  <si>
    <t>KETERANGAN</t>
  </si>
  <si>
    <t>Biaya-biaya :</t>
  </si>
  <si>
    <t>Gaji dan Bonus Pegawai Tetap (terdapat gaji  untuk anggota persekutuan Rp. 19.600.000)</t>
  </si>
  <si>
    <t>Tunjangan Hari Raya</t>
  </si>
  <si>
    <t>Pelatihan Karyawan</t>
  </si>
  <si>
    <t>Promosi dan Iklan (biaya promosi yang tidak ada bukti Rp. 10.50.000)</t>
  </si>
  <si>
    <t>Beban Pembelian Pulsa (termasuk pulsa karena jabatan manager sebesar Rp. 700.000)</t>
  </si>
  <si>
    <t>Telepon, air dan listrik (terdapat biaya pulsa  telpon direktur keuangan Rp. 1.400.000)</t>
  </si>
  <si>
    <t>Beban Pensiun ke BNI LIFE (disahkan Mentri keuangan)</t>
  </si>
  <si>
    <t>Pemberian makan siang (berlaku utk semua karywan)</t>
  </si>
  <si>
    <t>Pakaian  Pegawai Lapangan</t>
  </si>
  <si>
    <t>Biaya pembelian kendaraan Direktur Utama</t>
  </si>
  <si>
    <t>Pemeliharaan kendaraan Operasional kantor</t>
  </si>
  <si>
    <t>Pemeliharaan kendaraan Operasional Direktur keuangan, direktur SDM dan Direktur Marketing</t>
  </si>
  <si>
    <t>Pendidikan dan Magang karyawan</t>
  </si>
  <si>
    <t>Beban PPh 21 yang ditanggung perusahaan</t>
  </si>
  <si>
    <t>Beban PPh 21 yang diberikan sebagai tunjangan</t>
  </si>
  <si>
    <t>Pemeliharaan  Minibus untuk antar jemput karyawan</t>
  </si>
  <si>
    <t>Pakaian seragam (kegiatan lomba )</t>
  </si>
  <si>
    <t>Sumbangan untuk perayaan 17 Agt dikelurahan setempat</t>
  </si>
  <si>
    <t>Penyusutan peralatan 1</t>
  </si>
  <si>
    <t>Penyusutan peralatan 2</t>
  </si>
  <si>
    <t>Penyusutan peralatan 3</t>
  </si>
  <si>
    <t>Penyusutan peralatan 4</t>
  </si>
  <si>
    <t>TOTAL BEBAN</t>
  </si>
  <si>
    <t>LABA SEBELUM PAJAK</t>
  </si>
  <si>
    <t>PAJAK PENGHASILAN 22%</t>
  </si>
  <si>
    <t>LABA SETELAH PAJAK</t>
  </si>
  <si>
    <t>Positif</t>
  </si>
  <si>
    <t>Negatif</t>
  </si>
  <si>
    <t>negatif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</si>
</sst>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p&quot;* #,##0.00_-;\-&quot;Rp&quot;* #,##0.00_-;_-&quot;Rp&quot;* &quot;-&quot;??_-;_-@_-"/>
    <numFmt numFmtId="164" formatCode="_-&quot;Rp&quot;* #,##0_-;\-&quot;Rp&quot;* #,##0_-;_-&quot;Rp&quot;* &quot;-&quot;??_-;_-@"/>
    <numFmt numFmtId="165" formatCode="_-* #.;\-* #.;_-* &quot;-&quot;??_-;_-@_ⴆ"/>
    <numFmt numFmtId="166" formatCode="_(* #,##0_);_(* \(#,##0\);_(* &quot;-&quot;??_);_(@_)"/>
    <numFmt numFmtId="167" formatCode="_-* #,##0.00_-;\-* #,##0.00_-;_-* &quot;-&quot;??_-;_-@"/>
    <numFmt numFmtId="168" formatCode="_-* #,##0_-;\-* #,##0_-;_-* &quot;-&quot;_-;_-@"/>
    <numFmt numFmtId="169" formatCode="_(* #,##0.0_);_(* \(#,##0.0\);_(* &quot;-&quot;??_);_(@_)"/>
    <numFmt numFmtId="170" formatCode="_(* #,##0_);_(* \(#,##0\);_(* &quot;-&quot;_);_(@_)"/>
    <numFmt numFmtId="171" formatCode="_-[$Rp-421]* #,##0.00_-;\-[$Rp-421]* #,##0.00_-;_-[$Rp-421]* &quot;-&quot;??_-;_-@_-"/>
  </numFmts>
  <fonts count="13" x14ac:knownFonts="1">
    <font>
      <sz val="11"/>
      <color theme="1"/>
      <name val="Calibri"/>
      <scheme val="minor"/>
    </font>
    <font>
      <b/>
      <sz val="12"/>
      <color rgb="FF352C6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333333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1CEF8"/>
        <bgColor rgb="FFC1CEF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  <fill>
      <patternFill patternType="solid">
        <fgColor rgb="FFECECEC"/>
        <bgColor rgb="FFECECEC"/>
      </patternFill>
    </fill>
    <fill>
      <patternFill patternType="solid">
        <fgColor rgb="FFF4B083"/>
        <bgColor rgb="FFF4B083"/>
      </patternFill>
    </fill>
    <fill>
      <patternFill patternType="solid">
        <fgColor rgb="FFDEEAF6"/>
        <bgColor rgb="FFDEEAF6"/>
      </patternFill>
    </fill>
    <fill>
      <patternFill patternType="solid">
        <fgColor rgb="FFCC99FF"/>
        <bgColor theme="0"/>
      </patternFill>
    </fill>
    <fill>
      <patternFill patternType="solid">
        <fgColor rgb="FF7030A0"/>
        <bgColor theme="9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164" fontId="3" fillId="0" borderId="0" xfId="0" applyNumberFormat="1" applyFont="1"/>
    <xf numFmtId="164" fontId="3" fillId="3" borderId="1" xfId="0" applyNumberFormat="1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/>
    <xf numFmtId="164" fontId="3" fillId="3" borderId="1" xfId="0" applyNumberFormat="1" applyFont="1" applyFill="1" applyBorder="1"/>
    <xf numFmtId="164" fontId="3" fillId="4" borderId="1" xfId="0" applyNumberFormat="1" applyFont="1" applyFill="1" applyBorder="1"/>
    <xf numFmtId="0" fontId="3" fillId="0" borderId="0" xfId="0" applyFont="1" applyAlignment="1">
      <alignment wrapText="1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6" borderId="5" xfId="0" applyFont="1" applyFill="1" applyBorder="1"/>
    <xf numFmtId="164" fontId="3" fillId="6" borderId="5" xfId="0" applyNumberFormat="1" applyFont="1" applyFill="1" applyBorder="1"/>
    <xf numFmtId="0" fontId="3" fillId="6" borderId="5" xfId="0" applyFont="1" applyFill="1" applyBorder="1" applyAlignment="1">
      <alignment wrapText="1"/>
    </xf>
    <xf numFmtId="164" fontId="3" fillId="3" borderId="5" xfId="0" applyNumberFormat="1" applyFont="1" applyFill="1" applyBorder="1"/>
    <xf numFmtId="0" fontId="7" fillId="0" borderId="5" xfId="0" applyFont="1" applyBorder="1"/>
    <xf numFmtId="0" fontId="8" fillId="8" borderId="5" xfId="0" applyFont="1" applyFill="1" applyBorder="1" applyAlignment="1">
      <alignment horizontal="center"/>
    </xf>
    <xf numFmtId="166" fontId="7" fillId="0" borderId="5" xfId="0" applyNumberFormat="1" applyFont="1" applyBorder="1"/>
    <xf numFmtId="0" fontId="3" fillId="0" borderId="5" xfId="0" applyFont="1" applyBorder="1"/>
    <xf numFmtId="167" fontId="3" fillId="0" borderId="0" xfId="0" applyNumberFormat="1" applyFont="1"/>
    <xf numFmtId="168" fontId="7" fillId="4" borderId="5" xfId="0" applyNumberFormat="1" applyFont="1" applyFill="1" applyBorder="1"/>
    <xf numFmtId="168" fontId="3" fillId="4" borderId="5" xfId="0" applyNumberFormat="1" applyFont="1" applyFill="1" applyBorder="1"/>
    <xf numFmtId="169" fontId="7" fillId="0" borderId="5" xfId="0" applyNumberFormat="1" applyFont="1" applyBorder="1"/>
    <xf numFmtId="166" fontId="7" fillId="3" borderId="5" xfId="0" applyNumberFormat="1" applyFont="1" applyFill="1" applyBorder="1"/>
    <xf numFmtId="0" fontId="9" fillId="0" borderId="5" xfId="0" applyFont="1" applyBorder="1" applyAlignment="1">
      <alignment wrapText="1"/>
    </xf>
    <xf numFmtId="168" fontId="7" fillId="0" borderId="5" xfId="0" applyNumberFormat="1" applyFont="1" applyBorder="1"/>
    <xf numFmtId="170" fontId="7" fillId="3" borderId="5" xfId="0" applyNumberFormat="1" applyFont="1" applyFill="1" applyBorder="1"/>
    <xf numFmtId="0" fontId="7" fillId="0" borderId="5" xfId="0" applyFont="1" applyBorder="1" applyAlignment="1">
      <alignment horizontal="left" vertical="top"/>
    </xf>
    <xf numFmtId="0" fontId="7" fillId="0" borderId="5" xfId="0" applyFont="1" applyBorder="1" applyAlignment="1">
      <alignment horizontal="left" wrapText="1"/>
    </xf>
    <xf numFmtId="0" fontId="7" fillId="0" borderId="5" xfId="0" applyFont="1" applyBorder="1" applyAlignment="1">
      <alignment wrapText="1"/>
    </xf>
    <xf numFmtId="166" fontId="3" fillId="0" borderId="5" xfId="0" applyNumberFormat="1" applyFont="1" applyBorder="1"/>
    <xf numFmtId="0" fontId="8" fillId="8" borderId="5" xfId="0" applyFont="1" applyFill="1" applyBorder="1"/>
    <xf numFmtId="166" fontId="4" fillId="8" borderId="5" xfId="0" applyNumberFormat="1" applyFont="1" applyFill="1" applyBorder="1"/>
    <xf numFmtId="0" fontId="4" fillId="8" borderId="5" xfId="0" applyFont="1" applyFill="1" applyBorder="1"/>
    <xf numFmtId="171" fontId="3" fillId="3" borderId="5" xfId="1" applyNumberFormat="1" applyFont="1" applyFill="1" applyBorder="1"/>
    <xf numFmtId="164" fontId="4" fillId="9" borderId="5" xfId="0" applyNumberFormat="1" applyFont="1" applyFill="1" applyBorder="1"/>
    <xf numFmtId="0" fontId="11" fillId="10" borderId="5" xfId="0" applyFont="1" applyFill="1" applyBorder="1"/>
    <xf numFmtId="164" fontId="11" fillId="10" borderId="5" xfId="0" applyNumberFormat="1" applyFont="1" applyFill="1" applyBorder="1"/>
    <xf numFmtId="164" fontId="0" fillId="0" borderId="0" xfId="0" applyNumberFormat="1"/>
    <xf numFmtId="0" fontId="12" fillId="0" borderId="0" xfId="0" applyFont="1"/>
    <xf numFmtId="0" fontId="4" fillId="5" borderId="2" xfId="0" applyFont="1" applyFill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6" fillId="7" borderId="2" xfId="0" applyFont="1" applyFill="1" applyBorder="1" applyAlignment="1">
      <alignment horizontal="center"/>
    </xf>
    <xf numFmtId="0" fontId="6" fillId="7" borderId="7" xfId="0" applyFont="1" applyFill="1" applyBorder="1" applyAlignment="1">
      <alignment horizontal="center"/>
    </xf>
    <xf numFmtId="0" fontId="5" fillId="0" borderId="8" xfId="0" applyFont="1" applyBorder="1"/>
    <xf numFmtId="0" fontId="5" fillId="0" borderId="9" xfId="0" applyFont="1" applyBorder="1"/>
    <xf numFmtId="0" fontId="8" fillId="8" borderId="10" xfId="0" applyFont="1" applyFill="1" applyBorder="1" applyAlignment="1">
      <alignment horizontal="center" vertical="center"/>
    </xf>
    <xf numFmtId="0" fontId="5" fillId="0" borderId="11" xfId="0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88BFC0C-9AB3-42E4-9F3B-81C3EC0AB66D}">
  <we:reference id="22ff87a5-132f-4d52-9e97-94d888e4dd91" version="3.8.0.0" store="EXCatalog" storeType="EXCatalog"/>
  <we:alternateReferences>
    <we:reference id="WA104380050" version="3.8.0.0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000"/>
  <sheetViews>
    <sheetView topLeftCell="A13" zoomScale="83" workbookViewId="0">
      <selection activeCell="F1" sqref="F1"/>
    </sheetView>
  </sheetViews>
  <sheetFormatPr defaultColWidth="14.453125" defaultRowHeight="15" customHeight="1" x14ac:dyDescent="0.35"/>
  <cols>
    <col min="1" max="1" width="15.26953125" customWidth="1"/>
    <col min="2" max="2" width="8.7265625" customWidth="1"/>
    <col min="3" max="3" width="28.26953125" customWidth="1"/>
    <col min="4" max="4" width="24.453125" customWidth="1"/>
    <col min="5" max="5" width="18.453125" customWidth="1"/>
    <col min="6" max="6" width="17.7265625" customWidth="1"/>
    <col min="7" max="7" width="11.54296875" customWidth="1"/>
    <col min="8" max="26" width="8.7265625" customWidth="1"/>
  </cols>
  <sheetData>
    <row r="1" spans="2:7" ht="14.25" customHeight="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2:7" ht="14.25" customHeight="1" x14ac:dyDescent="0.35">
      <c r="B2" s="2">
        <v>1</v>
      </c>
      <c r="C2" s="2" t="s">
        <v>6</v>
      </c>
      <c r="D2" s="3">
        <v>132400000</v>
      </c>
      <c r="E2" s="4">
        <f>SUM(E4:E6)</f>
        <v>15000000</v>
      </c>
      <c r="F2" s="5">
        <f>D2-E2</f>
        <v>117400000</v>
      </c>
      <c r="G2" s="6" t="s">
        <v>7</v>
      </c>
    </row>
    <row r="3" spans="2:7" ht="14.25" customHeight="1" x14ac:dyDescent="0.35">
      <c r="C3" s="2" t="s">
        <v>8</v>
      </c>
      <c r="D3" s="3"/>
      <c r="E3" s="3"/>
      <c r="F3" s="3"/>
      <c r="G3" s="6"/>
    </row>
    <row r="4" spans="2:7" ht="14.25" customHeight="1" x14ac:dyDescent="0.35">
      <c r="C4" s="2" t="s">
        <v>9</v>
      </c>
      <c r="D4" s="3">
        <v>102400000</v>
      </c>
      <c r="E4" s="3"/>
      <c r="F4" s="3"/>
      <c r="G4" s="6"/>
    </row>
    <row r="5" spans="2:7" ht="14.25" customHeight="1" x14ac:dyDescent="0.35">
      <c r="C5" s="2" t="s">
        <v>10</v>
      </c>
      <c r="D5" s="3">
        <v>10000000</v>
      </c>
      <c r="E5" s="3">
        <f t="shared" ref="E5:E6" si="0">50%*D5</f>
        <v>5000000</v>
      </c>
      <c r="F5" s="3"/>
      <c r="G5" s="6"/>
    </row>
    <row r="6" spans="2:7" ht="14.25" customHeight="1" x14ac:dyDescent="0.35">
      <c r="C6" s="2" t="s">
        <v>11</v>
      </c>
      <c r="D6" s="3">
        <v>20000000</v>
      </c>
      <c r="E6" s="3">
        <f t="shared" si="0"/>
        <v>10000000</v>
      </c>
      <c r="F6" s="3"/>
      <c r="G6" s="6"/>
    </row>
    <row r="7" spans="2:7" ht="14.25" customHeight="1" x14ac:dyDescent="0.35">
      <c r="D7" s="3"/>
      <c r="E7" s="3"/>
      <c r="F7" s="3"/>
      <c r="G7" s="6"/>
    </row>
    <row r="8" spans="2:7" ht="14.25" customHeight="1" x14ac:dyDescent="0.35">
      <c r="B8" s="2">
        <v>2</v>
      </c>
      <c r="C8" s="2" t="s">
        <v>12</v>
      </c>
      <c r="D8" s="3">
        <v>78000000</v>
      </c>
      <c r="E8" s="7">
        <f>SUM(E10:E11)</f>
        <v>8000000</v>
      </c>
      <c r="F8" s="3">
        <f>D8-E8</f>
        <v>70000000</v>
      </c>
      <c r="G8" s="6" t="s">
        <v>7</v>
      </c>
    </row>
    <row r="9" spans="2:7" ht="14.25" customHeight="1" x14ac:dyDescent="0.35">
      <c r="C9" s="2" t="s">
        <v>8</v>
      </c>
      <c r="D9" s="3"/>
      <c r="E9" s="3"/>
      <c r="F9" s="3"/>
      <c r="G9" s="6"/>
    </row>
    <row r="10" spans="2:7" ht="14.25" customHeight="1" x14ac:dyDescent="0.35">
      <c r="C10" s="2" t="s">
        <v>13</v>
      </c>
      <c r="D10" s="3">
        <v>70000000</v>
      </c>
      <c r="E10" s="3"/>
      <c r="F10" s="3"/>
      <c r="G10" s="6"/>
    </row>
    <row r="11" spans="2:7" ht="14.25" customHeight="1" x14ac:dyDescent="0.35">
      <c r="C11" s="2" t="s">
        <v>14</v>
      </c>
      <c r="D11" s="3">
        <v>8000000</v>
      </c>
      <c r="E11" s="8">
        <f>D11</f>
        <v>8000000</v>
      </c>
      <c r="F11" s="3"/>
      <c r="G11" s="6"/>
    </row>
    <row r="12" spans="2:7" ht="14.25" customHeight="1" x14ac:dyDescent="0.35">
      <c r="D12" s="3"/>
      <c r="E12" s="3"/>
      <c r="F12" s="3"/>
      <c r="G12" s="6"/>
    </row>
    <row r="13" spans="2:7" ht="14.25" customHeight="1" x14ac:dyDescent="0.35">
      <c r="B13" s="2">
        <v>3</v>
      </c>
      <c r="C13" s="2" t="s">
        <v>15</v>
      </c>
      <c r="D13" s="3">
        <v>17200000</v>
      </c>
      <c r="E13" s="7"/>
      <c r="F13" s="3">
        <f>D13</f>
        <v>17200000</v>
      </c>
      <c r="G13" s="6"/>
    </row>
    <row r="14" spans="2:7" ht="14.25" customHeight="1" x14ac:dyDescent="0.35">
      <c r="C14" s="2" t="s">
        <v>8</v>
      </c>
      <c r="D14" s="3"/>
      <c r="E14" s="3"/>
      <c r="F14" s="3"/>
      <c r="G14" s="6"/>
    </row>
    <row r="15" spans="2:7" ht="14.25" customHeight="1" x14ac:dyDescent="0.35">
      <c r="C15" s="2" t="s">
        <v>16</v>
      </c>
      <c r="D15" s="3">
        <f>D13</f>
        <v>17200000</v>
      </c>
      <c r="E15" s="3"/>
      <c r="F15" s="3"/>
      <c r="G15" s="6"/>
    </row>
    <row r="16" spans="2:7" ht="14.25" customHeight="1" x14ac:dyDescent="0.35">
      <c r="D16" s="3"/>
      <c r="E16" s="3"/>
      <c r="F16" s="3"/>
      <c r="G16" s="6"/>
    </row>
    <row r="17" spans="2:7" ht="14.25" customHeight="1" x14ac:dyDescent="0.35">
      <c r="B17" s="2">
        <v>4</v>
      </c>
      <c r="C17" s="2" t="s">
        <v>17</v>
      </c>
      <c r="D17" s="3">
        <v>35600000</v>
      </c>
      <c r="E17" s="7">
        <f>E20</f>
        <v>600000</v>
      </c>
      <c r="F17" s="3">
        <f>D17-E17</f>
        <v>35000000</v>
      </c>
      <c r="G17" s="6" t="s">
        <v>7</v>
      </c>
    </row>
    <row r="18" spans="2:7" ht="14.25" customHeight="1" x14ac:dyDescent="0.35">
      <c r="C18" s="2" t="s">
        <v>8</v>
      </c>
      <c r="D18" s="3"/>
      <c r="E18" s="3"/>
      <c r="F18" s="3"/>
      <c r="G18" s="6"/>
    </row>
    <row r="19" spans="2:7" ht="14.25" customHeight="1" x14ac:dyDescent="0.35">
      <c r="C19" s="2" t="s">
        <v>18</v>
      </c>
      <c r="D19" s="3">
        <v>35000000</v>
      </c>
      <c r="E19" s="3"/>
      <c r="F19" s="3"/>
      <c r="G19" s="6"/>
    </row>
    <row r="20" spans="2:7" ht="14.25" customHeight="1" x14ac:dyDescent="0.35">
      <c r="C20" s="2" t="s">
        <v>19</v>
      </c>
      <c r="D20" s="3">
        <v>600000</v>
      </c>
      <c r="E20" s="3">
        <f>D20</f>
        <v>600000</v>
      </c>
      <c r="F20" s="3"/>
      <c r="G20" s="6"/>
    </row>
    <row r="21" spans="2:7" ht="14.25" customHeight="1" x14ac:dyDescent="0.35">
      <c r="D21" s="3"/>
      <c r="E21" s="3"/>
      <c r="F21" s="3"/>
      <c r="G21" s="6"/>
    </row>
    <row r="22" spans="2:7" ht="14.25" customHeight="1" x14ac:dyDescent="0.35">
      <c r="B22" s="2">
        <v>5</v>
      </c>
      <c r="C22" s="2" t="s">
        <v>20</v>
      </c>
      <c r="D22" s="3">
        <v>654000000</v>
      </c>
      <c r="E22" s="7">
        <f>SUM(E24:E25)</f>
        <v>100000000</v>
      </c>
      <c r="F22" s="3">
        <f>D22-E22</f>
        <v>554000000</v>
      </c>
      <c r="G22" s="6" t="s">
        <v>7</v>
      </c>
    </row>
    <row r="23" spans="2:7" ht="14.25" customHeight="1" x14ac:dyDescent="0.35">
      <c r="C23" s="2" t="s">
        <v>8</v>
      </c>
      <c r="D23" s="3"/>
      <c r="E23" s="3"/>
      <c r="F23" s="3"/>
      <c r="G23" s="6"/>
    </row>
    <row r="24" spans="2:7" ht="14.25" customHeight="1" x14ac:dyDescent="0.35">
      <c r="C24" s="2" t="s">
        <v>21</v>
      </c>
      <c r="D24" s="3">
        <v>554000000</v>
      </c>
      <c r="G24" s="6"/>
    </row>
    <row r="25" spans="2:7" ht="14.25" customHeight="1" x14ac:dyDescent="0.35">
      <c r="C25" s="9" t="s">
        <v>22</v>
      </c>
      <c r="D25" s="3">
        <v>100000000</v>
      </c>
      <c r="E25" s="3">
        <f>D25</f>
        <v>100000000</v>
      </c>
      <c r="G25" s="6"/>
    </row>
    <row r="26" spans="2:7" ht="14.25" customHeight="1" x14ac:dyDescent="0.35">
      <c r="G26" s="6"/>
    </row>
    <row r="27" spans="2:7" ht="14.25" customHeight="1" x14ac:dyDescent="0.35">
      <c r="B27" s="2">
        <v>6</v>
      </c>
      <c r="C27" s="2" t="s">
        <v>23</v>
      </c>
      <c r="D27" s="3">
        <v>321000000</v>
      </c>
      <c r="E27" s="7">
        <f>SUM(E29:E30)</f>
        <v>21000000</v>
      </c>
      <c r="F27" s="3">
        <f>D27-E27</f>
        <v>300000000</v>
      </c>
      <c r="G27" s="6" t="s">
        <v>7</v>
      </c>
    </row>
    <row r="28" spans="2:7" ht="14.25" customHeight="1" x14ac:dyDescent="0.35">
      <c r="C28" s="2" t="s">
        <v>8</v>
      </c>
      <c r="E28" s="3"/>
      <c r="G28" s="6"/>
    </row>
    <row r="29" spans="2:7" ht="14.25" customHeight="1" x14ac:dyDescent="0.35">
      <c r="C29" s="9" t="s">
        <v>24</v>
      </c>
      <c r="D29" s="3">
        <v>300000000</v>
      </c>
      <c r="G29" s="6"/>
    </row>
    <row r="30" spans="2:7" ht="14.25" customHeight="1" x14ac:dyDescent="0.35">
      <c r="C30" s="2" t="s">
        <v>25</v>
      </c>
      <c r="D30" s="3">
        <v>21000000</v>
      </c>
      <c r="E30" s="3">
        <f>D30</f>
        <v>21000000</v>
      </c>
      <c r="F30" s="3"/>
      <c r="G30" s="6"/>
    </row>
    <row r="31" spans="2:7" ht="14.25" customHeight="1" x14ac:dyDescent="0.35">
      <c r="D31" s="3"/>
      <c r="E31" s="3"/>
      <c r="F31" s="3"/>
      <c r="G31" s="6"/>
    </row>
    <row r="32" spans="2:7" ht="14.25" customHeight="1" x14ac:dyDescent="0.35">
      <c r="B32" s="2">
        <v>7</v>
      </c>
      <c r="C32" s="2" t="s">
        <v>26</v>
      </c>
      <c r="D32" s="3">
        <v>54000000</v>
      </c>
      <c r="E32" s="7">
        <f>D32</f>
        <v>54000000</v>
      </c>
      <c r="F32" s="3">
        <f>D32-E32</f>
        <v>0</v>
      </c>
      <c r="G32" s="6" t="s">
        <v>7</v>
      </c>
    </row>
    <row r="33" spans="3:7" ht="14.25" customHeight="1" x14ac:dyDescent="0.35">
      <c r="C33" s="2" t="str">
        <f>C28</f>
        <v>Rincian :</v>
      </c>
      <c r="D33" s="3"/>
      <c r="E33" s="3"/>
      <c r="F33" s="3"/>
      <c r="G33" s="6"/>
    </row>
    <row r="34" spans="3:7" ht="14.25" customHeight="1" x14ac:dyDescent="0.35">
      <c r="C34" s="9" t="s">
        <v>27</v>
      </c>
      <c r="D34" s="3">
        <f>D32</f>
        <v>54000000</v>
      </c>
      <c r="E34" s="3"/>
      <c r="F34" s="3"/>
      <c r="G34" s="6"/>
    </row>
    <row r="35" spans="3:7" ht="14.25" customHeight="1" x14ac:dyDescent="0.35">
      <c r="G35" s="6"/>
    </row>
    <row r="36" spans="3:7" ht="14.25" customHeight="1" x14ac:dyDescent="0.35"/>
    <row r="37" spans="3:7" ht="14.25" customHeight="1" x14ac:dyDescent="0.35"/>
    <row r="38" spans="3:7" ht="14.25" customHeight="1" x14ac:dyDescent="0.35"/>
    <row r="39" spans="3:7" ht="14.25" customHeight="1" x14ac:dyDescent="0.35"/>
    <row r="40" spans="3:7" ht="14.25" customHeight="1" x14ac:dyDescent="0.35"/>
    <row r="41" spans="3:7" ht="14.25" customHeight="1" x14ac:dyDescent="0.35"/>
    <row r="42" spans="3:7" ht="14.25" customHeight="1" x14ac:dyDescent="0.35"/>
    <row r="43" spans="3:7" ht="14.25" customHeight="1" x14ac:dyDescent="0.35"/>
    <row r="44" spans="3:7" ht="14.25" customHeight="1" x14ac:dyDescent="0.35"/>
    <row r="45" spans="3:7" ht="14.25" customHeight="1" x14ac:dyDescent="0.35"/>
    <row r="46" spans="3:7" ht="14.25" customHeight="1" x14ac:dyDescent="0.35"/>
    <row r="47" spans="3:7" ht="14.25" customHeight="1" x14ac:dyDescent="0.35"/>
    <row r="48" spans="3:7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zoomScale="95" workbookViewId="0">
      <selection activeCell="G20" sqref="G20"/>
    </sheetView>
  </sheetViews>
  <sheetFormatPr defaultColWidth="14.453125" defaultRowHeight="15" customHeight="1" x14ac:dyDescent="0.35"/>
  <cols>
    <col min="1" max="1" width="113" customWidth="1"/>
    <col min="2" max="2" width="23.26953125" customWidth="1"/>
    <col min="3" max="3" width="21" customWidth="1"/>
    <col min="4" max="4" width="22.54296875" customWidth="1"/>
    <col min="5" max="5" width="8.7265625" customWidth="1"/>
    <col min="6" max="6" width="10.54296875" customWidth="1"/>
    <col min="7" max="26" width="8.7265625" customWidth="1"/>
  </cols>
  <sheetData>
    <row r="1" spans="1:6" ht="14.25" customHeight="1" x14ac:dyDescent="0.35">
      <c r="A1" s="41" t="s">
        <v>28</v>
      </c>
      <c r="B1" s="42"/>
      <c r="C1" s="42"/>
      <c r="D1" s="43"/>
    </row>
    <row r="2" spans="1:6" ht="14.25" customHeight="1" x14ac:dyDescent="0.35">
      <c r="A2" s="41" t="s">
        <v>29</v>
      </c>
      <c r="B2" s="42"/>
      <c r="C2" s="42"/>
      <c r="D2" s="43"/>
    </row>
    <row r="3" spans="1:6" ht="14.25" customHeight="1" x14ac:dyDescent="0.35">
      <c r="A3" s="41" t="s">
        <v>30</v>
      </c>
      <c r="B3" s="42"/>
      <c r="C3" s="42"/>
      <c r="D3" s="43"/>
    </row>
    <row r="4" spans="1:6" ht="14.25" customHeight="1" x14ac:dyDescent="0.35">
      <c r="A4" s="10" t="s">
        <v>31</v>
      </c>
      <c r="B4" s="10" t="s">
        <v>32</v>
      </c>
      <c r="C4" s="10" t="s">
        <v>33</v>
      </c>
      <c r="D4" s="10" t="s">
        <v>34</v>
      </c>
      <c r="F4" s="11" t="s">
        <v>5</v>
      </c>
    </row>
    <row r="5" spans="1:6" ht="14.25" customHeight="1" x14ac:dyDescent="0.35">
      <c r="A5" s="12" t="s">
        <v>35</v>
      </c>
      <c r="B5" s="13">
        <v>8932650460</v>
      </c>
      <c r="C5" s="13"/>
      <c r="D5" s="13">
        <f>B5</f>
        <v>8932650460</v>
      </c>
    </row>
    <row r="6" spans="1:6" ht="14.25" customHeight="1" x14ac:dyDescent="0.35">
      <c r="A6" s="12" t="s">
        <v>36</v>
      </c>
      <c r="B6" s="13">
        <v>0</v>
      </c>
      <c r="C6" s="13"/>
      <c r="D6" s="13"/>
    </row>
    <row r="7" spans="1:6" ht="14.25" customHeight="1" x14ac:dyDescent="0.35">
      <c r="A7" s="12" t="s">
        <v>37</v>
      </c>
      <c r="B7" s="13">
        <v>89326504.600000009</v>
      </c>
      <c r="C7" s="13"/>
      <c r="D7" s="13">
        <f>B7</f>
        <v>89326504.600000009</v>
      </c>
    </row>
    <row r="8" spans="1:6" ht="14.25" customHeight="1" x14ac:dyDescent="0.35">
      <c r="A8" s="12" t="s">
        <v>38</v>
      </c>
      <c r="B8" s="13">
        <v>8843323955.3999996</v>
      </c>
      <c r="C8" s="13"/>
      <c r="D8" s="13">
        <f>B8</f>
        <v>8843323955.3999996</v>
      </c>
    </row>
    <row r="9" spans="1:6" ht="14.25" customHeight="1" x14ac:dyDescent="0.35">
      <c r="A9" s="12"/>
      <c r="B9" s="13"/>
      <c r="C9" s="13"/>
      <c r="D9" s="13"/>
    </row>
    <row r="10" spans="1:6" ht="14.25" customHeight="1" x14ac:dyDescent="0.35">
      <c r="A10" s="12" t="s">
        <v>39</v>
      </c>
      <c r="B10" s="13"/>
      <c r="C10" s="13"/>
      <c r="D10" s="13"/>
    </row>
    <row r="11" spans="1:6" ht="14.25" customHeight="1" x14ac:dyDescent="0.35">
      <c r="A11" s="12" t="s">
        <v>40</v>
      </c>
      <c r="B11" s="13">
        <v>280000000</v>
      </c>
      <c r="C11" s="13"/>
      <c r="D11" s="13">
        <f>B11</f>
        <v>280000000</v>
      </c>
    </row>
    <row r="12" spans="1:6" ht="14.25" customHeight="1" x14ac:dyDescent="0.35">
      <c r="A12" s="12" t="s">
        <v>41</v>
      </c>
      <c r="B12" s="13">
        <v>5157372000</v>
      </c>
      <c r="C12" s="13"/>
      <c r="D12" s="13">
        <f>B12</f>
        <v>5157372000</v>
      </c>
    </row>
    <row r="13" spans="1:6" ht="14.25" customHeight="1" x14ac:dyDescent="0.35">
      <c r="A13" s="12" t="s">
        <v>42</v>
      </c>
      <c r="B13" s="13">
        <v>389000000</v>
      </c>
      <c r="C13" s="13"/>
      <c r="D13" s="13">
        <f>B13</f>
        <v>389000000</v>
      </c>
    </row>
    <row r="14" spans="1:6" ht="14.25" customHeight="1" x14ac:dyDescent="0.35">
      <c r="A14" s="12" t="s">
        <v>43</v>
      </c>
      <c r="B14" s="13">
        <v>5048372000</v>
      </c>
      <c r="C14" s="13"/>
      <c r="D14" s="13">
        <f>B14</f>
        <v>5048372000</v>
      </c>
    </row>
    <row r="15" spans="1:6" ht="14.25" customHeight="1" x14ac:dyDescent="0.35">
      <c r="A15" s="12" t="s">
        <v>44</v>
      </c>
      <c r="B15" s="13">
        <v>3794951955.3999996</v>
      </c>
      <c r="C15" s="13"/>
      <c r="D15" s="13">
        <f>B15</f>
        <v>3794951955.3999996</v>
      </c>
    </row>
    <row r="16" spans="1:6" ht="14.25" customHeight="1" x14ac:dyDescent="0.35">
      <c r="A16" s="12"/>
      <c r="B16" s="13"/>
      <c r="C16" s="13"/>
      <c r="D16" s="13"/>
    </row>
    <row r="17" spans="1:6" ht="14" customHeight="1" x14ac:dyDescent="0.35">
      <c r="A17" s="12" t="s">
        <v>45</v>
      </c>
      <c r="B17" s="13"/>
      <c r="C17" s="13"/>
      <c r="D17" s="13"/>
    </row>
    <row r="18" spans="1:6" ht="15" customHeight="1" x14ac:dyDescent="0.35">
      <c r="A18" s="14" t="s">
        <v>46</v>
      </c>
      <c r="B18" s="13">
        <v>42100000</v>
      </c>
      <c r="C18" s="15">
        <v>3600000</v>
      </c>
      <c r="D18" s="13">
        <f>B18-C18</f>
        <v>38500000</v>
      </c>
      <c r="E18" t="s">
        <v>109</v>
      </c>
      <c r="F18" s="6"/>
    </row>
    <row r="19" spans="1:6" ht="14" customHeight="1" x14ac:dyDescent="0.35">
      <c r="A19" s="12" t="s">
        <v>47</v>
      </c>
      <c r="B19" s="13">
        <v>29000000</v>
      </c>
      <c r="C19" s="13"/>
      <c r="D19" s="13">
        <f>B19</f>
        <v>29000000</v>
      </c>
      <c r="F19" s="6"/>
    </row>
    <row r="20" spans="1:6" ht="14.25" customHeight="1" x14ac:dyDescent="0.35">
      <c r="A20" s="14" t="s">
        <v>48</v>
      </c>
      <c r="B20" s="13">
        <v>86720000</v>
      </c>
      <c r="C20" s="13"/>
      <c r="D20" s="13">
        <f>B20</f>
        <v>86720000</v>
      </c>
      <c r="F20" s="6"/>
    </row>
    <row r="21" spans="1:6" ht="18" customHeight="1" x14ac:dyDescent="0.35">
      <c r="A21" s="14" t="s">
        <v>49</v>
      </c>
      <c r="B21" s="13">
        <v>71200000</v>
      </c>
      <c r="C21" s="15">
        <v>11000000</v>
      </c>
      <c r="D21" s="13">
        <f>B21-C21</f>
        <v>60200000</v>
      </c>
      <c r="E21" t="s">
        <v>109</v>
      </c>
      <c r="F21" s="6"/>
    </row>
    <row r="22" spans="1:6" ht="18" customHeight="1" x14ac:dyDescent="0.35">
      <c r="A22" s="14" t="s">
        <v>50</v>
      </c>
      <c r="B22" s="13">
        <v>143980000</v>
      </c>
      <c r="C22" s="15">
        <v>12520000</v>
      </c>
      <c r="D22" s="13">
        <f>B22-C22</f>
        <v>131460000</v>
      </c>
      <c r="E22" s="40" t="s">
        <v>109</v>
      </c>
      <c r="F22" s="6"/>
    </row>
    <row r="23" spans="1:6" ht="14.25" customHeight="1" x14ac:dyDescent="0.35">
      <c r="A23" s="14" t="s">
        <v>51</v>
      </c>
      <c r="B23" s="13">
        <v>19234500</v>
      </c>
      <c r="C23" s="13"/>
      <c r="D23" s="13">
        <f>B23</f>
        <v>19234500</v>
      </c>
      <c r="F23" s="6"/>
    </row>
    <row r="24" spans="1:6" ht="14.25" customHeight="1" x14ac:dyDescent="0.35">
      <c r="A24" s="14" t="s">
        <v>52</v>
      </c>
      <c r="B24" s="13">
        <v>76420000</v>
      </c>
      <c r="C24" s="15">
        <f>50%*3400000</f>
        <v>1700000</v>
      </c>
      <c r="D24" s="13">
        <f>B24-C24</f>
        <v>74720000</v>
      </c>
      <c r="E24" t="s">
        <v>109</v>
      </c>
      <c r="F24" s="6"/>
    </row>
    <row r="25" spans="1:6" ht="14.25" customHeight="1" x14ac:dyDescent="0.35">
      <c r="A25" s="12" t="s">
        <v>53</v>
      </c>
      <c r="B25" s="13">
        <v>6320000</v>
      </c>
      <c r="C25" s="35">
        <f>50%*B25</f>
        <v>3160000</v>
      </c>
      <c r="D25" s="13">
        <f>B25-C25</f>
        <v>3160000</v>
      </c>
      <c r="E25" t="s">
        <v>109</v>
      </c>
      <c r="F25" s="6"/>
    </row>
    <row r="26" spans="1:6" ht="14.25" customHeight="1" x14ac:dyDescent="0.35">
      <c r="A26" s="14" t="s">
        <v>54</v>
      </c>
      <c r="B26" s="13">
        <v>123732000</v>
      </c>
      <c r="C26" s="15">
        <v>43200000</v>
      </c>
      <c r="D26" s="13">
        <f>B26-C26</f>
        <v>80532000</v>
      </c>
      <c r="E26" t="s">
        <v>109</v>
      </c>
      <c r="F26" s="6"/>
    </row>
    <row r="27" spans="1:6" ht="14.25" customHeight="1" x14ac:dyDescent="0.35">
      <c r="A27" s="12" t="s">
        <v>55</v>
      </c>
      <c r="B27" s="13">
        <v>12345000</v>
      </c>
      <c r="C27" s="13"/>
      <c r="D27" s="13">
        <f>B27</f>
        <v>12345000</v>
      </c>
      <c r="F27" s="6"/>
    </row>
    <row r="28" spans="1:6" ht="14.25" customHeight="1" x14ac:dyDescent="0.35">
      <c r="A28" s="12" t="s">
        <v>56</v>
      </c>
      <c r="B28" s="13">
        <v>187900000</v>
      </c>
      <c r="C28" s="15">
        <f>D28-B28</f>
        <v>10800000</v>
      </c>
      <c r="D28" s="13">
        <v>198700000</v>
      </c>
      <c r="E28" t="s">
        <v>110</v>
      </c>
      <c r="F28" s="6"/>
    </row>
    <row r="29" spans="1:6" ht="14.25" customHeight="1" x14ac:dyDescent="0.35">
      <c r="A29" s="12" t="s">
        <v>57</v>
      </c>
      <c r="B29" s="13">
        <v>798951500</v>
      </c>
      <c r="C29" s="13"/>
      <c r="D29" s="36">
        <f>SUM(D18:D28)</f>
        <v>734571500</v>
      </c>
      <c r="F29" s="6"/>
    </row>
    <row r="30" spans="1:6" ht="14.25" customHeight="1" x14ac:dyDescent="0.35">
      <c r="A30" s="12"/>
      <c r="B30" s="13"/>
      <c r="C30" s="13"/>
      <c r="D30" s="13"/>
      <c r="F30" s="6"/>
    </row>
    <row r="31" spans="1:6" ht="14.25" customHeight="1" x14ac:dyDescent="0.35">
      <c r="A31" s="12"/>
      <c r="B31" s="13"/>
      <c r="C31" s="13"/>
      <c r="D31" s="13"/>
      <c r="F31" s="6"/>
    </row>
    <row r="32" spans="1:6" ht="14.25" customHeight="1" x14ac:dyDescent="0.35">
      <c r="A32" s="12" t="s">
        <v>58</v>
      </c>
      <c r="B32" s="13"/>
      <c r="C32" s="13"/>
      <c r="D32" s="13"/>
      <c r="F32" s="6"/>
    </row>
    <row r="33" spans="1:6" ht="14.25" customHeight="1" x14ac:dyDescent="0.35">
      <c r="A33" s="14" t="s">
        <v>59</v>
      </c>
      <c r="B33" s="13">
        <v>783210000</v>
      </c>
      <c r="C33" s="15">
        <v>2890000</v>
      </c>
      <c r="D33" s="13">
        <f>B33-C33</f>
        <v>780320000</v>
      </c>
      <c r="E33" t="s">
        <v>109</v>
      </c>
      <c r="F33" s="6"/>
    </row>
    <row r="34" spans="1:6" ht="14.25" customHeight="1" x14ac:dyDescent="0.35">
      <c r="A34" s="12" t="s">
        <v>60</v>
      </c>
      <c r="B34" s="13">
        <v>45120000</v>
      </c>
      <c r="C34" s="13"/>
      <c r="D34" s="13">
        <f>B34</f>
        <v>45120000</v>
      </c>
      <c r="F34" s="6"/>
    </row>
    <row r="35" spans="1:6" ht="14.25" customHeight="1" x14ac:dyDescent="0.35">
      <c r="A35" s="12" t="s">
        <v>61</v>
      </c>
      <c r="B35" s="13">
        <v>65210000</v>
      </c>
      <c r="C35" s="15">
        <f>B35</f>
        <v>65210000</v>
      </c>
      <c r="D35" s="13">
        <f>B35-C35</f>
        <v>0</v>
      </c>
      <c r="E35" t="s">
        <v>109</v>
      </c>
      <c r="F35" s="6"/>
    </row>
    <row r="36" spans="1:6" ht="14.25" customHeight="1" x14ac:dyDescent="0.35">
      <c r="A36" s="14" t="s">
        <v>62</v>
      </c>
      <c r="B36" s="13">
        <v>123900000</v>
      </c>
      <c r="C36" s="13"/>
      <c r="D36" s="13">
        <f>B36</f>
        <v>123900000</v>
      </c>
      <c r="F36" s="6"/>
    </row>
    <row r="37" spans="1:6" ht="14.25" customHeight="1" x14ac:dyDescent="0.35">
      <c r="A37" s="12" t="s">
        <v>63</v>
      </c>
      <c r="B37" s="13">
        <v>15430000</v>
      </c>
      <c r="C37" s="13"/>
      <c r="D37" s="13">
        <f>B37</f>
        <v>15430000</v>
      </c>
      <c r="F37" s="6"/>
    </row>
    <row r="38" spans="1:6" ht="14.25" customHeight="1" x14ac:dyDescent="0.35">
      <c r="A38" s="12" t="s">
        <v>64</v>
      </c>
      <c r="B38" s="13">
        <v>25634000</v>
      </c>
      <c r="C38" s="15">
        <f>50%*18100000</f>
        <v>9050000</v>
      </c>
      <c r="D38" s="13">
        <f>B38-C38</f>
        <v>16584000</v>
      </c>
      <c r="E38" t="s">
        <v>109</v>
      </c>
      <c r="F38" s="6"/>
    </row>
    <row r="39" spans="1:6" ht="14.25" customHeight="1" x14ac:dyDescent="0.35">
      <c r="A39" s="12" t="s">
        <v>56</v>
      </c>
      <c r="B39" s="13">
        <v>276500000</v>
      </c>
      <c r="C39" s="15">
        <f>D39-B39</f>
        <v>9800000</v>
      </c>
      <c r="D39" s="13">
        <v>286300000</v>
      </c>
      <c r="E39" t="s">
        <v>110</v>
      </c>
      <c r="F39" s="6"/>
    </row>
    <row r="40" spans="1:6" ht="14.25" customHeight="1" x14ac:dyDescent="0.35">
      <c r="A40" s="14" t="s">
        <v>65</v>
      </c>
      <c r="B40" s="13">
        <v>432100000</v>
      </c>
      <c r="C40" s="15">
        <f>50%*B40</f>
        <v>216050000</v>
      </c>
      <c r="D40" s="13">
        <f>B40-C40</f>
        <v>216050000</v>
      </c>
      <c r="E40" t="s">
        <v>109</v>
      </c>
      <c r="F40" s="6"/>
    </row>
    <row r="41" spans="1:6" ht="14.25" customHeight="1" x14ac:dyDescent="0.35">
      <c r="A41" s="12" t="s">
        <v>66</v>
      </c>
      <c r="B41" s="13">
        <v>23560000</v>
      </c>
      <c r="C41" s="13"/>
      <c r="D41" s="13">
        <f>B41</f>
        <v>23560000</v>
      </c>
      <c r="F41" s="6"/>
    </row>
    <row r="42" spans="1:6" ht="14.25" customHeight="1" x14ac:dyDescent="0.35">
      <c r="A42" s="14" t="s">
        <v>67</v>
      </c>
      <c r="B42" s="13">
        <v>76542000</v>
      </c>
      <c r="C42" s="15">
        <f>50%*2900000</f>
        <v>1450000</v>
      </c>
      <c r="D42" s="13">
        <f>B42-C42</f>
        <v>75092000</v>
      </c>
      <c r="E42" t="s">
        <v>109</v>
      </c>
      <c r="F42" s="6"/>
    </row>
    <row r="43" spans="1:6" ht="14.25" customHeight="1" x14ac:dyDescent="0.35">
      <c r="A43" s="12" t="s">
        <v>68</v>
      </c>
      <c r="B43" s="13">
        <v>8210000</v>
      </c>
      <c r="C43" s="13"/>
      <c r="D43" s="13">
        <f>B43</f>
        <v>8210000</v>
      </c>
      <c r="F43" s="6"/>
    </row>
    <row r="44" spans="1:6" ht="14.25" customHeight="1" x14ac:dyDescent="0.35">
      <c r="A44" s="14" t="s">
        <v>69</v>
      </c>
      <c r="B44" s="13">
        <v>56432000</v>
      </c>
      <c r="C44" s="15">
        <v>12300000</v>
      </c>
      <c r="D44" s="13">
        <f>B44-C44</f>
        <v>44132000</v>
      </c>
      <c r="E44" t="s">
        <v>109</v>
      </c>
      <c r="F44" s="6"/>
    </row>
    <row r="45" spans="1:6" ht="14.25" customHeight="1" x14ac:dyDescent="0.35">
      <c r="A45" s="14" t="s">
        <v>70</v>
      </c>
      <c r="B45" s="13">
        <v>15000000</v>
      </c>
      <c r="C45" s="13"/>
      <c r="D45" s="13">
        <f>B45</f>
        <v>15000000</v>
      </c>
      <c r="F45" s="6"/>
    </row>
    <row r="46" spans="1:6" ht="14.25" customHeight="1" x14ac:dyDescent="0.35">
      <c r="A46" s="12" t="s">
        <v>71</v>
      </c>
      <c r="B46" s="13">
        <v>28930000</v>
      </c>
      <c r="C46" s="13"/>
      <c r="D46" s="13">
        <f>B46</f>
        <v>28930000</v>
      </c>
      <c r="F46" s="6"/>
    </row>
    <row r="47" spans="1:6" ht="14.25" customHeight="1" x14ac:dyDescent="0.35">
      <c r="A47" s="12" t="s">
        <v>72</v>
      </c>
      <c r="B47" s="13">
        <v>11900000</v>
      </c>
      <c r="C47" s="13"/>
      <c r="D47" s="13">
        <f>B47</f>
        <v>11900000</v>
      </c>
      <c r="F47" s="6"/>
    </row>
    <row r="48" spans="1:6" ht="14.25" customHeight="1" x14ac:dyDescent="0.35">
      <c r="A48" s="14" t="s">
        <v>73</v>
      </c>
      <c r="B48" s="13">
        <v>5000000</v>
      </c>
      <c r="C48" s="15">
        <f>B48</f>
        <v>5000000</v>
      </c>
      <c r="D48" s="13">
        <f>B48-C48</f>
        <v>0</v>
      </c>
      <c r="E48" t="s">
        <v>109</v>
      </c>
      <c r="F48" s="6"/>
    </row>
    <row r="49" spans="1:6" ht="14.25" customHeight="1" x14ac:dyDescent="0.35">
      <c r="A49" s="12" t="s">
        <v>74</v>
      </c>
      <c r="B49" s="13">
        <v>234000000</v>
      </c>
      <c r="C49" s="15">
        <f>B49</f>
        <v>234000000</v>
      </c>
      <c r="D49" s="13">
        <f>B49-C49</f>
        <v>0</v>
      </c>
      <c r="E49" t="s">
        <v>109</v>
      </c>
      <c r="F49" s="6"/>
    </row>
    <row r="50" spans="1:6" ht="14.25" customHeight="1" x14ac:dyDescent="0.35">
      <c r="A50" s="12" t="s">
        <v>75</v>
      </c>
      <c r="B50" s="13">
        <v>28000000</v>
      </c>
      <c r="C50" s="13"/>
      <c r="D50" s="13">
        <f>B50</f>
        <v>28000000</v>
      </c>
      <c r="F50" s="6"/>
    </row>
    <row r="51" spans="1:6" ht="14.25" customHeight="1" x14ac:dyDescent="0.35">
      <c r="A51" s="12" t="s">
        <v>76</v>
      </c>
      <c r="B51" s="13">
        <v>12356800</v>
      </c>
      <c r="C51" s="15">
        <f>B51</f>
        <v>12356800</v>
      </c>
      <c r="D51" s="13">
        <f>B51-C51</f>
        <v>0</v>
      </c>
      <c r="E51" t="s">
        <v>109</v>
      </c>
      <c r="F51" s="6"/>
    </row>
    <row r="52" spans="1:6" ht="14.25" customHeight="1" x14ac:dyDescent="0.35">
      <c r="A52" s="12" t="s">
        <v>77</v>
      </c>
      <c r="B52" s="13">
        <v>2267034800</v>
      </c>
      <c r="C52" s="13"/>
      <c r="D52" s="36">
        <f>SUM(D33:D51)</f>
        <v>1718528000</v>
      </c>
      <c r="F52" s="6"/>
    </row>
    <row r="53" spans="1:6" ht="14.25" customHeight="1" x14ac:dyDescent="0.35">
      <c r="A53" s="12"/>
      <c r="B53" s="13"/>
      <c r="C53" s="13"/>
      <c r="D53" s="13"/>
      <c r="F53" s="6"/>
    </row>
    <row r="54" spans="1:6" ht="14.25" customHeight="1" x14ac:dyDescent="0.35">
      <c r="A54" s="37" t="s">
        <v>78</v>
      </c>
      <c r="B54" s="38">
        <v>728965655.39999998</v>
      </c>
      <c r="C54" s="38"/>
      <c r="D54" s="38"/>
      <c r="F54" s="6"/>
    </row>
    <row r="55" spans="1:6" ht="14.25" customHeight="1" x14ac:dyDescent="0.35">
      <c r="B55" s="39"/>
    </row>
    <row r="56" spans="1:6" ht="14.25" customHeight="1" x14ac:dyDescent="0.35"/>
    <row r="57" spans="1:6" ht="14.25" customHeight="1" x14ac:dyDescent="0.35"/>
    <row r="58" spans="1:6" ht="14.25" customHeight="1" x14ac:dyDescent="0.35"/>
    <row r="59" spans="1:6" ht="14.25" customHeight="1" x14ac:dyDescent="0.35"/>
    <row r="60" spans="1:6" ht="14.25" customHeight="1" x14ac:dyDescent="0.35"/>
    <row r="61" spans="1:6" ht="14.25" customHeight="1" x14ac:dyDescent="0.35"/>
    <row r="62" spans="1:6" ht="14.25" customHeight="1" x14ac:dyDescent="0.35"/>
    <row r="63" spans="1:6" ht="14.25" customHeight="1" x14ac:dyDescent="0.35"/>
    <row r="64" spans="1:6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3">
    <mergeCell ref="A1:D1"/>
    <mergeCell ref="A2:D2"/>
    <mergeCell ref="A3:D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tabSelected="1" topLeftCell="A37" zoomScale="77" workbookViewId="0">
      <selection activeCell="D55" sqref="D55"/>
    </sheetView>
  </sheetViews>
  <sheetFormatPr defaultColWidth="14.453125" defaultRowHeight="15" customHeight="1" x14ac:dyDescent="0.35"/>
  <cols>
    <col min="1" max="1" width="94.36328125" customWidth="1"/>
    <col min="2" max="2" width="21.7265625" customWidth="1"/>
    <col min="3" max="3" width="19.81640625" customWidth="1"/>
    <col min="4" max="4" width="20.7265625" customWidth="1"/>
    <col min="5" max="5" width="21.453125" customWidth="1"/>
    <col min="6" max="26" width="8.7265625" customWidth="1"/>
  </cols>
  <sheetData>
    <row r="1" spans="1:7" ht="14.25" customHeight="1" x14ac:dyDescent="0.35"/>
    <row r="2" spans="1:7" ht="14.25" customHeight="1" x14ac:dyDescent="0.45">
      <c r="A2" s="44" t="s">
        <v>28</v>
      </c>
      <c r="B2" s="42"/>
      <c r="C2" s="42"/>
      <c r="D2" s="42"/>
      <c r="E2" s="43"/>
    </row>
    <row r="3" spans="1:7" ht="14.25" customHeight="1" x14ac:dyDescent="0.45">
      <c r="A3" s="44" t="s">
        <v>79</v>
      </c>
      <c r="B3" s="42"/>
      <c r="C3" s="42"/>
      <c r="D3" s="42"/>
      <c r="E3" s="43"/>
    </row>
    <row r="4" spans="1:7" ht="14.25" customHeight="1" x14ac:dyDescent="0.45">
      <c r="A4" s="45" t="s">
        <v>80</v>
      </c>
      <c r="B4" s="46"/>
      <c r="C4" s="46"/>
      <c r="D4" s="46"/>
      <c r="E4" s="47"/>
    </row>
    <row r="5" spans="1:7" ht="14.25" customHeight="1" x14ac:dyDescent="0.35">
      <c r="A5" s="16"/>
      <c r="B5" s="17"/>
      <c r="C5" s="17" t="s">
        <v>33</v>
      </c>
      <c r="D5" s="17"/>
      <c r="E5" s="48" t="s">
        <v>81</v>
      </c>
    </row>
    <row r="6" spans="1:7" ht="14.25" customHeight="1" x14ac:dyDescent="0.35">
      <c r="A6" s="16"/>
      <c r="B6" s="17" t="s">
        <v>32</v>
      </c>
      <c r="C6" s="17"/>
      <c r="D6" s="17" t="s">
        <v>34</v>
      </c>
      <c r="E6" s="49"/>
    </row>
    <row r="7" spans="1:7" ht="14.25" customHeight="1" x14ac:dyDescent="0.35">
      <c r="A7" s="16" t="s">
        <v>35</v>
      </c>
      <c r="B7" s="18">
        <v>10932650460</v>
      </c>
      <c r="C7" s="18"/>
      <c r="D7" s="18">
        <f>B7</f>
        <v>10932650460</v>
      </c>
      <c r="E7" s="19"/>
    </row>
    <row r="8" spans="1:7" ht="14.25" customHeight="1" x14ac:dyDescent="0.35">
      <c r="A8" s="16" t="s">
        <v>36</v>
      </c>
      <c r="B8" s="18">
        <v>0</v>
      </c>
      <c r="C8" s="18"/>
      <c r="D8" s="18"/>
      <c r="E8" s="19"/>
    </row>
    <row r="9" spans="1:7" ht="14.25" customHeight="1" x14ac:dyDescent="0.35">
      <c r="A9" s="16" t="s">
        <v>37</v>
      </c>
      <c r="B9" s="18">
        <v>89326504.600000009</v>
      </c>
      <c r="C9" s="18"/>
      <c r="D9" s="18">
        <f>B9</f>
        <v>89326504.600000009</v>
      </c>
      <c r="E9" s="19"/>
      <c r="G9" s="20">
        <f>100/14</f>
        <v>7.1428571428571432</v>
      </c>
    </row>
    <row r="10" spans="1:7" ht="14.25" customHeight="1" x14ac:dyDescent="0.35">
      <c r="A10" s="16" t="s">
        <v>38</v>
      </c>
      <c r="B10" s="18">
        <f>B7-B9</f>
        <v>10843323955.4</v>
      </c>
      <c r="C10" s="18"/>
      <c r="D10" s="18">
        <f>B10</f>
        <v>10843323955.4</v>
      </c>
      <c r="E10" s="19"/>
    </row>
    <row r="11" spans="1:7" ht="14.25" customHeight="1" x14ac:dyDescent="0.35">
      <c r="A11" s="16"/>
      <c r="B11" s="18"/>
      <c r="C11" s="18"/>
      <c r="D11" s="18"/>
      <c r="E11" s="19"/>
    </row>
    <row r="12" spans="1:7" ht="14.25" customHeight="1" x14ac:dyDescent="0.35">
      <c r="A12" s="16" t="s">
        <v>39</v>
      </c>
      <c r="B12" s="18"/>
      <c r="C12" s="18"/>
      <c r="D12" s="18"/>
      <c r="E12" s="19"/>
    </row>
    <row r="13" spans="1:7" ht="14.25" customHeight="1" x14ac:dyDescent="0.35">
      <c r="A13" s="16" t="s">
        <v>40</v>
      </c>
      <c r="B13" s="18">
        <v>313600000</v>
      </c>
      <c r="C13" s="18"/>
      <c r="D13" s="18">
        <f>B13</f>
        <v>313600000</v>
      </c>
      <c r="E13" s="19"/>
    </row>
    <row r="14" spans="1:7" ht="14.25" customHeight="1" x14ac:dyDescent="0.35">
      <c r="A14" s="16" t="s">
        <v>41</v>
      </c>
      <c r="B14" s="18">
        <v>5776256640.000001</v>
      </c>
      <c r="C14" s="18"/>
      <c r="D14" s="18">
        <f>B14</f>
        <v>5776256640.000001</v>
      </c>
      <c r="E14" s="19"/>
    </row>
    <row r="15" spans="1:7" ht="14.25" customHeight="1" x14ac:dyDescent="0.35">
      <c r="A15" s="16" t="s">
        <v>42</v>
      </c>
      <c r="B15" s="21">
        <v>438035200</v>
      </c>
      <c r="C15" s="18"/>
      <c r="D15" s="22">
        <f>B15</f>
        <v>438035200</v>
      </c>
      <c r="E15" s="19"/>
    </row>
    <row r="16" spans="1:7" ht="14.25" customHeight="1" x14ac:dyDescent="0.35">
      <c r="A16" s="16" t="s">
        <v>43</v>
      </c>
      <c r="B16" s="18">
        <f>B13+B14-B15</f>
        <v>5651821440.000001</v>
      </c>
      <c r="C16" s="18"/>
      <c r="D16" s="18">
        <f>B16</f>
        <v>5651821440.000001</v>
      </c>
      <c r="E16" s="19"/>
    </row>
    <row r="17" spans="1:6" ht="14.25" customHeight="1" x14ac:dyDescent="0.35">
      <c r="A17" s="16" t="s">
        <v>44</v>
      </c>
      <c r="B17" s="18">
        <f>B10-B16</f>
        <v>5191502515.3999987</v>
      </c>
      <c r="C17" s="18"/>
      <c r="D17" s="18">
        <f>B17</f>
        <v>5191502515.3999987</v>
      </c>
      <c r="E17" s="19"/>
    </row>
    <row r="18" spans="1:6" ht="14.25" customHeight="1" x14ac:dyDescent="0.35">
      <c r="A18" s="16"/>
      <c r="B18" s="18"/>
      <c r="C18" s="18"/>
      <c r="D18" s="18"/>
      <c r="E18" s="19"/>
    </row>
    <row r="19" spans="1:6" ht="14.25" customHeight="1" x14ac:dyDescent="0.35">
      <c r="A19" s="16" t="s">
        <v>82</v>
      </c>
      <c r="B19" s="18"/>
      <c r="C19" s="18"/>
      <c r="D19" s="18"/>
      <c r="E19" s="19"/>
    </row>
    <row r="20" spans="1:6" ht="14.25" customHeight="1" x14ac:dyDescent="0.35">
      <c r="A20" s="23" t="s">
        <v>83</v>
      </c>
      <c r="B20" s="18">
        <v>242100000</v>
      </c>
      <c r="C20" s="24">
        <v>19600000</v>
      </c>
      <c r="D20" s="18">
        <f>B20-C20</f>
        <v>222500000</v>
      </c>
      <c r="E20" s="19" t="s">
        <v>7</v>
      </c>
      <c r="F20" s="20"/>
    </row>
    <row r="21" spans="1:6" ht="14.25" customHeight="1" x14ac:dyDescent="0.35">
      <c r="A21" s="16" t="s">
        <v>84</v>
      </c>
      <c r="B21" s="18">
        <v>37000000</v>
      </c>
      <c r="C21" s="18"/>
      <c r="D21" s="18">
        <f>B21</f>
        <v>37000000</v>
      </c>
      <c r="E21" s="19"/>
    </row>
    <row r="22" spans="1:6" ht="14.25" customHeight="1" x14ac:dyDescent="0.35">
      <c r="A22" s="16" t="s">
        <v>48</v>
      </c>
      <c r="B22" s="18">
        <v>32720000</v>
      </c>
      <c r="C22" s="18"/>
      <c r="D22" s="18">
        <f>B22</f>
        <v>32720000</v>
      </c>
      <c r="E22" s="19"/>
    </row>
    <row r="23" spans="1:6" ht="14.25" customHeight="1" x14ac:dyDescent="0.35">
      <c r="A23" s="16" t="s">
        <v>85</v>
      </c>
      <c r="B23" s="18">
        <v>11200000</v>
      </c>
      <c r="C23" s="18"/>
      <c r="D23" s="18">
        <f>B23</f>
        <v>11200000</v>
      </c>
      <c r="E23" s="19"/>
    </row>
    <row r="24" spans="1:6" ht="14.25" customHeight="1" x14ac:dyDescent="0.35">
      <c r="A24" s="16" t="s">
        <v>86</v>
      </c>
      <c r="B24" s="18">
        <v>143980000</v>
      </c>
      <c r="C24" s="24">
        <v>10500000</v>
      </c>
      <c r="D24" s="18">
        <f>B24-C24</f>
        <v>133480000</v>
      </c>
      <c r="E24" s="19" t="s">
        <v>7</v>
      </c>
      <c r="F24" s="20"/>
    </row>
    <row r="25" spans="1:6" ht="14" customHeight="1" x14ac:dyDescent="0.35">
      <c r="A25" s="25" t="s">
        <v>87</v>
      </c>
      <c r="B25" s="18">
        <v>3234500</v>
      </c>
      <c r="C25" s="24">
        <f>700000*50%</f>
        <v>350000</v>
      </c>
      <c r="D25" s="18">
        <f>B25-C25</f>
        <v>2884500</v>
      </c>
      <c r="E25" s="19" t="s">
        <v>7</v>
      </c>
      <c r="F25" s="20"/>
    </row>
    <row r="26" spans="1:6" ht="14.25" customHeight="1" x14ac:dyDescent="0.35">
      <c r="A26" s="16" t="s">
        <v>88</v>
      </c>
      <c r="B26" s="18">
        <v>16420000</v>
      </c>
      <c r="C26" s="24">
        <f>1400000*50%</f>
        <v>700000</v>
      </c>
      <c r="D26" s="18">
        <f>B26-C26</f>
        <v>15720000</v>
      </c>
      <c r="E26" s="19" t="s">
        <v>7</v>
      </c>
      <c r="F26" s="20"/>
    </row>
    <row r="27" spans="1:6" ht="14.25" customHeight="1" x14ac:dyDescent="0.35">
      <c r="A27" s="25" t="s">
        <v>89</v>
      </c>
      <c r="B27" s="18">
        <v>6320000</v>
      </c>
      <c r="C27" s="18"/>
      <c r="D27" s="18">
        <f>B27</f>
        <v>6320000</v>
      </c>
      <c r="E27" s="19"/>
    </row>
    <row r="28" spans="1:6" ht="14.25" customHeight="1" x14ac:dyDescent="0.35">
      <c r="A28" s="16" t="s">
        <v>60</v>
      </c>
      <c r="B28" s="18">
        <v>73732000</v>
      </c>
      <c r="C28" s="18"/>
      <c r="D28" s="18">
        <f>B28</f>
        <v>73732000</v>
      </c>
      <c r="E28" s="19"/>
    </row>
    <row r="29" spans="1:6" ht="14.25" customHeight="1" x14ac:dyDescent="0.35">
      <c r="A29" s="16" t="s">
        <v>61</v>
      </c>
      <c r="B29" s="18">
        <v>8345000</v>
      </c>
      <c r="C29" s="24">
        <f>B29</f>
        <v>8345000</v>
      </c>
      <c r="D29" s="18">
        <f>B29-C29</f>
        <v>0</v>
      </c>
      <c r="E29" s="19" t="s">
        <v>7</v>
      </c>
      <c r="F29" s="20"/>
    </row>
    <row r="30" spans="1:6" ht="14.25" customHeight="1" x14ac:dyDescent="0.35">
      <c r="A30" s="16" t="s">
        <v>90</v>
      </c>
      <c r="B30" s="18">
        <v>187900000</v>
      </c>
      <c r="C30" s="18"/>
      <c r="D30" s="18">
        <f>B30</f>
        <v>187900000</v>
      </c>
      <c r="E30" s="19"/>
    </row>
    <row r="31" spans="1:6" ht="14.25" customHeight="1" x14ac:dyDescent="0.35">
      <c r="A31" s="16" t="s">
        <v>91</v>
      </c>
      <c r="B31" s="18">
        <v>78951500</v>
      </c>
      <c r="C31" s="18"/>
      <c r="D31" s="18">
        <f>B31</f>
        <v>78951500</v>
      </c>
      <c r="E31" s="19"/>
    </row>
    <row r="32" spans="1:6" ht="14.25" customHeight="1" x14ac:dyDescent="0.35">
      <c r="A32" s="16" t="s">
        <v>92</v>
      </c>
      <c r="B32" s="26">
        <v>432100000</v>
      </c>
      <c r="C32" s="27">
        <f>432100000*50%</f>
        <v>216050000</v>
      </c>
      <c r="D32" s="18">
        <f>B32-C32</f>
        <v>216050000</v>
      </c>
      <c r="E32" s="19" t="s">
        <v>7</v>
      </c>
      <c r="F32" s="20"/>
    </row>
    <row r="33" spans="1:6" ht="14.25" customHeight="1" x14ac:dyDescent="0.35">
      <c r="A33" s="16" t="s">
        <v>66</v>
      </c>
      <c r="B33" s="26">
        <v>89765300</v>
      </c>
      <c r="C33" s="16"/>
      <c r="D33" s="18">
        <f>B33</f>
        <v>89765300</v>
      </c>
      <c r="E33" s="19"/>
    </row>
    <row r="34" spans="1:6" ht="14.25" customHeight="1" x14ac:dyDescent="0.35">
      <c r="A34" s="16" t="s">
        <v>93</v>
      </c>
      <c r="B34" s="26">
        <v>21865000</v>
      </c>
      <c r="C34" s="16"/>
      <c r="D34" s="18">
        <f>B34</f>
        <v>21865000</v>
      </c>
      <c r="E34" s="19"/>
    </row>
    <row r="35" spans="1:6" ht="14.25" customHeight="1" x14ac:dyDescent="0.35">
      <c r="A35" s="16" t="s">
        <v>94</v>
      </c>
      <c r="B35" s="26">
        <v>56300000</v>
      </c>
      <c r="C35" s="27">
        <f>B35*50%</f>
        <v>28150000</v>
      </c>
      <c r="D35" s="18">
        <f>B35-C35</f>
        <v>28150000</v>
      </c>
      <c r="E35" s="19" t="s">
        <v>7</v>
      </c>
      <c r="F35" s="20"/>
    </row>
    <row r="36" spans="1:6" ht="14.25" customHeight="1" x14ac:dyDescent="0.35">
      <c r="A36" s="16" t="s">
        <v>68</v>
      </c>
      <c r="B36" s="26">
        <v>32100600</v>
      </c>
      <c r="C36" s="16"/>
      <c r="D36" s="18">
        <f>B36</f>
        <v>32100600</v>
      </c>
      <c r="E36" s="19"/>
    </row>
    <row r="37" spans="1:6" ht="14.25" customHeight="1" x14ac:dyDescent="0.35">
      <c r="A37" s="16" t="s">
        <v>95</v>
      </c>
      <c r="B37" s="26">
        <v>45320700</v>
      </c>
      <c r="C37" s="16"/>
      <c r="D37" s="18">
        <f>B37</f>
        <v>45320700</v>
      </c>
      <c r="E37" s="19"/>
    </row>
    <row r="38" spans="1:6" ht="14.25" customHeight="1" x14ac:dyDescent="0.35">
      <c r="A38" s="28" t="s">
        <v>96</v>
      </c>
      <c r="B38" s="18">
        <v>24500000</v>
      </c>
      <c r="C38" s="18"/>
      <c r="D38" s="18">
        <f>B38</f>
        <v>24500000</v>
      </c>
      <c r="E38" s="19"/>
    </row>
    <row r="39" spans="1:6" ht="14.25" customHeight="1" x14ac:dyDescent="0.35">
      <c r="A39" s="28" t="s">
        <v>97</v>
      </c>
      <c r="B39" s="18">
        <v>3560000</v>
      </c>
      <c r="C39" s="18"/>
      <c r="D39" s="18">
        <f>B39</f>
        <v>3560000</v>
      </c>
      <c r="E39" s="19"/>
    </row>
    <row r="40" spans="1:6" ht="14.25" customHeight="1" x14ac:dyDescent="0.35">
      <c r="A40" s="29" t="s">
        <v>98</v>
      </c>
      <c r="B40" s="18">
        <v>6750000</v>
      </c>
      <c r="C40" s="18"/>
      <c r="D40" s="18">
        <f>B40</f>
        <v>6750000</v>
      </c>
      <c r="E40" s="19"/>
    </row>
    <row r="41" spans="1:6" ht="14.25" customHeight="1" x14ac:dyDescent="0.35">
      <c r="A41" s="30" t="s">
        <v>72</v>
      </c>
      <c r="B41" s="18">
        <v>2300000</v>
      </c>
      <c r="C41" s="18"/>
      <c r="D41" s="18">
        <f>B41</f>
        <v>2300000</v>
      </c>
      <c r="E41" s="19"/>
    </row>
    <row r="42" spans="1:6" ht="14.25" customHeight="1" x14ac:dyDescent="0.35">
      <c r="A42" s="16" t="s">
        <v>99</v>
      </c>
      <c r="B42" s="18">
        <v>1200000</v>
      </c>
      <c r="C42" s="24">
        <f>B42</f>
        <v>1200000</v>
      </c>
      <c r="D42" s="18">
        <f>B42-C42</f>
        <v>0</v>
      </c>
      <c r="E42" s="19" t="s">
        <v>7</v>
      </c>
      <c r="F42" s="20"/>
    </row>
    <row r="43" spans="1:6" ht="14.25" customHeight="1" x14ac:dyDescent="0.35">
      <c r="A43" s="30" t="s">
        <v>70</v>
      </c>
      <c r="B43" s="18">
        <v>8700000</v>
      </c>
      <c r="C43" s="18"/>
      <c r="D43" s="18">
        <f>B43</f>
        <v>8700000</v>
      </c>
      <c r="E43" s="19"/>
    </row>
    <row r="44" spans="1:6" ht="14.25" customHeight="1" x14ac:dyDescent="0.35">
      <c r="A44" s="30" t="s">
        <v>100</v>
      </c>
      <c r="B44" s="18">
        <v>1000000</v>
      </c>
      <c r="C44" s="24">
        <f>B44</f>
        <v>1000000</v>
      </c>
      <c r="D44" s="18">
        <f>B44-C44</f>
        <v>0</v>
      </c>
      <c r="E44" s="19" t="s">
        <v>7</v>
      </c>
      <c r="F44" s="20"/>
    </row>
    <row r="45" spans="1:6" ht="14.25" customHeight="1" x14ac:dyDescent="0.35">
      <c r="A45" s="16" t="s">
        <v>86</v>
      </c>
      <c r="B45" s="18">
        <v>98000000</v>
      </c>
      <c r="C45" s="24">
        <v>10500000</v>
      </c>
      <c r="D45" s="18">
        <f>B45-C45</f>
        <v>87500000</v>
      </c>
      <c r="E45" s="19" t="s">
        <v>7</v>
      </c>
      <c r="F45" s="20"/>
    </row>
    <row r="46" spans="1:6" ht="14.25" customHeight="1" x14ac:dyDescent="0.35">
      <c r="A46" s="16" t="s">
        <v>101</v>
      </c>
      <c r="B46" s="18">
        <v>45844000</v>
      </c>
      <c r="C46" s="24">
        <f>D46-B46</f>
        <v>1000000</v>
      </c>
      <c r="D46" s="31">
        <v>46844000</v>
      </c>
      <c r="E46" s="19" t="s">
        <v>111</v>
      </c>
      <c r="F46" s="20"/>
    </row>
    <row r="47" spans="1:6" ht="14.25" customHeight="1" x14ac:dyDescent="0.35">
      <c r="A47" s="16" t="s">
        <v>102</v>
      </c>
      <c r="B47" s="18">
        <v>47510000</v>
      </c>
      <c r="C47" s="24">
        <f>D47-B47</f>
        <v>1000000</v>
      </c>
      <c r="D47" s="31">
        <v>48510000</v>
      </c>
      <c r="E47" s="19" t="s">
        <v>111</v>
      </c>
      <c r="F47" s="20"/>
    </row>
    <row r="48" spans="1:6" ht="14.25" customHeight="1" x14ac:dyDescent="0.35">
      <c r="A48" s="16" t="s">
        <v>103</v>
      </c>
      <c r="B48" s="18">
        <v>33322000</v>
      </c>
      <c r="C48" s="24">
        <f>D48-B48</f>
        <v>1100500</v>
      </c>
      <c r="D48" s="31">
        <v>34422500</v>
      </c>
      <c r="E48" s="19" t="s">
        <v>111</v>
      </c>
      <c r="F48" s="20"/>
    </row>
    <row r="49" spans="1:6" ht="14.25" customHeight="1" x14ac:dyDescent="0.35">
      <c r="A49" s="16" t="s">
        <v>104</v>
      </c>
      <c r="B49" s="18">
        <v>75728000</v>
      </c>
      <c r="C49" s="24">
        <f>D49-B49</f>
        <v>1000750</v>
      </c>
      <c r="D49" s="31">
        <v>76728750</v>
      </c>
      <c r="E49" s="19" t="s">
        <v>111</v>
      </c>
      <c r="F49" s="20"/>
    </row>
    <row r="50" spans="1:6" ht="14.25" customHeight="1" x14ac:dyDescent="0.35">
      <c r="A50" s="16"/>
      <c r="B50" s="18"/>
      <c r="C50" s="18"/>
      <c r="D50" s="18"/>
      <c r="E50" s="19"/>
    </row>
    <row r="51" spans="1:6" ht="14.25" customHeight="1" x14ac:dyDescent="0.35">
      <c r="A51" s="16" t="s">
        <v>105</v>
      </c>
      <c r="B51" s="18">
        <f>SUM(B20:B50)</f>
        <v>1867768600</v>
      </c>
      <c r="C51" s="18"/>
      <c r="D51" s="18">
        <f>SUM(D20:D49)</f>
        <v>1575474850</v>
      </c>
      <c r="E51" s="19"/>
    </row>
    <row r="52" spans="1:6" ht="14.25" customHeight="1" x14ac:dyDescent="0.35">
      <c r="A52" s="16" t="s">
        <v>106</v>
      </c>
      <c r="B52" s="18">
        <f>B17-B51</f>
        <v>3323733915.3999987</v>
      </c>
      <c r="C52" s="18"/>
      <c r="D52" s="18">
        <f>D17-D51</f>
        <v>3616027665.3999987</v>
      </c>
      <c r="E52" s="19"/>
    </row>
    <row r="53" spans="1:6" ht="14.25" customHeight="1" x14ac:dyDescent="0.35">
      <c r="A53" s="16" t="s">
        <v>107</v>
      </c>
      <c r="B53" s="18">
        <f>B52*22%</f>
        <v>731221461.38799965</v>
      </c>
      <c r="C53" s="18"/>
      <c r="D53" s="18">
        <f>D52*22%</f>
        <v>795526086.38799965</v>
      </c>
      <c r="E53" s="19"/>
    </row>
    <row r="54" spans="1:6" ht="14.25" customHeight="1" x14ac:dyDescent="0.35">
      <c r="A54" s="32" t="s">
        <v>108</v>
      </c>
      <c r="B54" s="33">
        <f>B52-B53</f>
        <v>2592512454.0119991</v>
      </c>
      <c r="C54" s="34"/>
      <c r="D54" s="33">
        <f>D52-D53</f>
        <v>2820501579.0119991</v>
      </c>
      <c r="E54" s="19"/>
    </row>
    <row r="55" spans="1:6" ht="14.25" customHeight="1" x14ac:dyDescent="0.35"/>
    <row r="56" spans="1:6" ht="14.25" customHeight="1" x14ac:dyDescent="0.35"/>
    <row r="57" spans="1:6" ht="14.25" customHeight="1" x14ac:dyDescent="0.35"/>
    <row r="58" spans="1:6" ht="14.25" customHeight="1" x14ac:dyDescent="0.35"/>
    <row r="59" spans="1:6" ht="14.25" customHeight="1" x14ac:dyDescent="0.35"/>
    <row r="60" spans="1:6" ht="14.25" customHeight="1" x14ac:dyDescent="0.35"/>
    <row r="61" spans="1:6" ht="14.25" customHeight="1" x14ac:dyDescent="0.35">
      <c r="F61" s="18">
        <f>F60*22%</f>
        <v>0</v>
      </c>
    </row>
    <row r="62" spans="1:6" ht="14.25" customHeight="1" x14ac:dyDescent="0.35"/>
    <row r="63" spans="1:6" ht="14.25" customHeight="1" x14ac:dyDescent="0.35"/>
    <row r="64" spans="1:6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4">
    <mergeCell ref="A2:E2"/>
    <mergeCell ref="A3:E3"/>
    <mergeCell ref="A4:E4"/>
    <mergeCell ref="E5:E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LATIHAN 1</vt:lpstr>
      <vt:lpstr>LATIHAN 2</vt:lpstr>
      <vt:lpstr>REKONSILIASI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NELSI WISNA</dc:creator>
  <cp:lastModifiedBy>BILQIS NAILAH FAUZIYYAH</cp:lastModifiedBy>
  <dcterms:created xsi:type="dcterms:W3CDTF">2023-03-10T23:00:20Z</dcterms:created>
  <dcterms:modified xsi:type="dcterms:W3CDTF">2026-04-15T08:12:46Z</dcterms:modified>
</cp:coreProperties>
</file>