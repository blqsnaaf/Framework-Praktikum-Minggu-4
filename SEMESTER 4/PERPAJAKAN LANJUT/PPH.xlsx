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13_ncr:1_{B911B631-181F-45BD-87CC-F575C9157E5E}" xr6:coauthVersionLast="47" xr6:coauthVersionMax="47" xr10:uidLastSave="{00000000-0000-0000-0000-000000000000}"/>
  <bookViews>
    <workbookView xWindow="-110" yWindow="-110" windowWidth="19420" windowHeight="11020" activeTab="2" xr2:uid="{C578946F-CE56-446E-85B9-3CACC8C3920E}"/>
  </bookViews>
  <sheets>
    <sheet name="SOAL1" sheetId="2" r:id="rId1"/>
    <sheet name="SOAL 2" sheetId="1" r:id="rId2"/>
    <sheet name="SOAL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3" l="1"/>
  <c r="Z9" i="3"/>
  <c r="Y9" i="3"/>
  <c r="K9" i="3"/>
  <c r="Z8" i="3"/>
  <c r="Y8" i="3"/>
  <c r="W8" i="3"/>
  <c r="AA8" i="3" s="1"/>
  <c r="X8" i="3" s="1"/>
  <c r="Z7" i="3"/>
  <c r="Y7" i="3"/>
  <c r="W7" i="3"/>
  <c r="AA7" i="3" s="1"/>
  <c r="X7" i="3" s="1"/>
  <c r="Z6" i="3"/>
  <c r="Y6" i="3"/>
  <c r="W6" i="3"/>
  <c r="AA6" i="3" s="1"/>
  <c r="X6" i="3" s="1"/>
  <c r="E19" i="2"/>
  <c r="M24" i="3"/>
  <c r="J25" i="3"/>
  <c r="N25" i="3" s="1"/>
  <c r="J26" i="3"/>
  <c r="N26" i="3" s="1"/>
  <c r="J27" i="3"/>
  <c r="N27" i="3" s="1"/>
  <c r="J28" i="3"/>
  <c r="N28" i="3" s="1"/>
  <c r="J29" i="3"/>
  <c r="M29" i="3" s="1"/>
  <c r="J30" i="3"/>
  <c r="M30" i="3" s="1"/>
  <c r="J31" i="3"/>
  <c r="M31" i="3" s="1"/>
  <c r="J32" i="3"/>
  <c r="M32" i="3" s="1"/>
  <c r="J33" i="3"/>
  <c r="M33" i="3" s="1"/>
  <c r="J24" i="3"/>
  <c r="M28" i="3"/>
  <c r="M25" i="3"/>
  <c r="M26" i="3"/>
  <c r="M27" i="3"/>
  <c r="J8" i="3"/>
  <c r="N8" i="3" s="1"/>
  <c r="J9" i="3"/>
  <c r="N9" i="3" s="1"/>
  <c r="J11" i="3"/>
  <c r="N11" i="3" s="1"/>
  <c r="J13" i="3"/>
  <c r="N13" i="3" s="1"/>
  <c r="J15" i="3"/>
  <c r="N15" i="3" s="1"/>
  <c r="J17" i="3"/>
  <c r="M17" i="3" s="1"/>
  <c r="J7" i="3"/>
  <c r="N7" i="3" s="1"/>
  <c r="J6" i="3"/>
  <c r="I7" i="1"/>
  <c r="M7" i="3"/>
  <c r="M8" i="3"/>
  <c r="M9" i="3"/>
  <c r="M11" i="3"/>
  <c r="M13" i="3"/>
  <c r="M15" i="3"/>
  <c r="M6" i="3"/>
  <c r="H7" i="1"/>
  <c r="H6" i="1"/>
  <c r="L33" i="3"/>
  <c r="L32" i="3"/>
  <c r="L31" i="3"/>
  <c r="L30" i="3"/>
  <c r="L29" i="3"/>
  <c r="L28" i="3"/>
  <c r="L27" i="3"/>
  <c r="L26" i="3"/>
  <c r="L25" i="3"/>
  <c r="L24" i="3"/>
  <c r="L9" i="3"/>
  <c r="L11" i="3"/>
  <c r="L13" i="3"/>
  <c r="L15" i="3"/>
  <c r="L17" i="3"/>
  <c r="L8" i="3"/>
  <c r="L7" i="3"/>
  <c r="L6" i="3"/>
  <c r="J10" i="1"/>
  <c r="J9" i="1"/>
  <c r="I10" i="1"/>
  <c r="I9" i="1"/>
  <c r="I8" i="1"/>
  <c r="H8" i="1"/>
  <c r="H9" i="1"/>
  <c r="H10" i="1"/>
  <c r="G10" i="1"/>
  <c r="F10" i="1" s="1"/>
  <c r="G9" i="1"/>
  <c r="F9" i="1" s="1"/>
  <c r="G8" i="1"/>
  <c r="F8" i="1" s="1"/>
  <c r="G7" i="1"/>
  <c r="F7" i="1" s="1"/>
  <c r="G6" i="1"/>
  <c r="F6" i="1" s="1"/>
  <c r="E9" i="2"/>
  <c r="E10" i="2"/>
  <c r="E11" i="2"/>
  <c r="E12" i="2"/>
  <c r="E13" i="2"/>
  <c r="E14" i="2"/>
  <c r="E15" i="2"/>
  <c r="E16" i="2"/>
  <c r="E17" i="2"/>
  <c r="E18" i="2"/>
  <c r="K31" i="3" l="1"/>
  <c r="K32" i="3"/>
  <c r="K29" i="3"/>
  <c r="K25" i="3"/>
  <c r="K33" i="3"/>
  <c r="K27" i="3"/>
  <c r="K30" i="3"/>
  <c r="K28" i="3"/>
  <c r="K26" i="3"/>
  <c r="N24" i="3"/>
  <c r="K24" i="3" s="1"/>
  <c r="K15" i="3"/>
  <c r="K17" i="3"/>
  <c r="K7" i="3"/>
  <c r="K11" i="3"/>
  <c r="K8" i="3"/>
  <c r="K13" i="3"/>
  <c r="N6" i="3"/>
  <c r="K6" i="3" s="1"/>
  <c r="W9" i="3"/>
  <c r="X9" i="3"/>
</calcChain>
</file>

<file path=xl/sharedStrings.xml><?xml version="1.0" encoding="utf-8"?>
<sst xmlns="http://schemas.openxmlformats.org/spreadsheetml/2006/main" count="163" uniqueCount="107">
  <si>
    <t>status</t>
  </si>
  <si>
    <t>No.</t>
  </si>
  <si>
    <t>jumlah ptkp</t>
  </si>
  <si>
    <t>TK/0</t>
  </si>
  <si>
    <t>TK/1</t>
  </si>
  <si>
    <t>TK/2</t>
  </si>
  <si>
    <t>TK/3</t>
  </si>
  <si>
    <t>K/0</t>
  </si>
  <si>
    <t>K/1</t>
  </si>
  <si>
    <t>K/2</t>
  </si>
  <si>
    <t>K/3</t>
  </si>
  <si>
    <t>K/I/0</t>
  </si>
  <si>
    <t>K/I/1</t>
  </si>
  <si>
    <t>K/I/2</t>
  </si>
  <si>
    <t>K/I/3</t>
  </si>
  <si>
    <t>No</t>
  </si>
  <si>
    <t>Nama Wajib Pajak</t>
  </si>
  <si>
    <t>Penghasilan Kena Pajak</t>
  </si>
  <si>
    <t>Pajak yang harus dibayar</t>
  </si>
  <si>
    <t>ALI</t>
  </si>
  <si>
    <t>budi</t>
  </si>
  <si>
    <t>wati</t>
  </si>
  <si>
    <t>Rani</t>
  </si>
  <si>
    <t>Arif</t>
  </si>
  <si>
    <t>Nama &amp; Alamat</t>
  </si>
  <si>
    <t>Status</t>
  </si>
  <si>
    <t>Jabatan</t>
  </si>
  <si>
    <t>NPWP</t>
  </si>
  <si>
    <t>Penghasilan per bulan</t>
  </si>
  <si>
    <t>PTKP</t>
  </si>
  <si>
    <t>Penghasilan kena Pajak</t>
  </si>
  <si>
    <t>Rony Sigarantang, MBA</t>
  </si>
  <si>
    <t>L-K/4</t>
  </si>
  <si>
    <t>Komisaris Utama</t>
  </si>
  <si>
    <t>07.234.028.4-423.000</t>
  </si>
  <si>
    <t>Budi Karsa, SE., MM</t>
  </si>
  <si>
    <t>L-K/2</t>
  </si>
  <si>
    <t>Komisaris</t>
  </si>
  <si>
    <t>05.390.087.4-428.000</t>
  </si>
  <si>
    <t>Nugraha Joyo, SE., Ak.</t>
  </si>
  <si>
    <t>L-K/3</t>
  </si>
  <si>
    <t>05.282.214.5-423.000</t>
  </si>
  <si>
    <t>Cakra Winata, SH. MH.</t>
  </si>
  <si>
    <t>L-K/5</t>
  </si>
  <si>
    <t>Direktur Utama</t>
  </si>
  <si>
    <t xml:space="preserve">05.281.601.4-421.000 </t>
  </si>
  <si>
    <t>Nining Sofyani, MBA</t>
  </si>
  <si>
    <t>Jl. Kecantikan No.80 Bandung</t>
  </si>
  <si>
    <t>P-TK/0</t>
  </si>
  <si>
    <t>Dir. Keuangan dan Operasi</t>
  </si>
  <si>
    <t>06.722.251.3-423.000</t>
  </si>
  <si>
    <t>Gogon Gondolo, S.Si., MM</t>
  </si>
  <si>
    <t>Jl. Jenderal A. Yani No.66 Bandung</t>
  </si>
  <si>
    <t>L-K/1</t>
  </si>
  <si>
    <t>Dir. Sarana &amp; SDM</t>
  </si>
  <si>
    <t>07.083.684.6-424.000</t>
  </si>
  <si>
    <t>Jajang Lukman, SE., MM.</t>
  </si>
  <si>
    <t>Jl. Amir Mahmud No. 44 Cimahi</t>
  </si>
  <si>
    <t>L-K/0</t>
  </si>
  <si>
    <t>Manajer Keuangan &amp; Operasi</t>
  </si>
  <si>
    <t>09.351.133.5-421.000</t>
  </si>
  <si>
    <t>Gugun Gundala, ST., MT</t>
  </si>
  <si>
    <t>Jl. Jend. Sudirman No. 11 Cikarang</t>
  </si>
  <si>
    <t>Manajer Sarana &amp; SDM</t>
  </si>
  <si>
    <t>06.084.926.2-414.000</t>
  </si>
  <si>
    <t>TUGAS MINGGU 1:</t>
  </si>
  <si>
    <r>
      <t>1.</t>
    </r>
    <r>
      <rPr>
        <b/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 xml:space="preserve">Tuliskan besarnya nilai </t>
    </r>
    <r>
      <rPr>
        <b/>
        <sz val="11"/>
        <color theme="1"/>
        <rFont val="Aptos"/>
        <family val="2"/>
      </rPr>
      <t>Penghasilan Tidak Kena Pajak</t>
    </r>
    <r>
      <rPr>
        <sz val="11"/>
        <color theme="1"/>
        <rFont val="Aptos"/>
        <family val="2"/>
      </rPr>
      <t xml:space="preserve"> (PTKP) :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</si>
  <si>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Aptos"/>
        <family val="2"/>
      </rPr>
      <t>Tentukan Pajak yang Harus Dibayar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</si>
  <si>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Aptos"/>
        <family val="2"/>
      </rPr>
      <t>Dari data pegawai dibawah ini tentukan nilai PTKP dan Pajak yang harus dibayar</t>
    </r>
  </si>
  <si>
    <t xml:space="preserve">Data Susunan pengurus </t>
  </si>
  <si>
    <t>Catatan : Penghasilan yang tertera merupakan penghasilan per bulan. utk mencari penghasilan kena pajak maka silahkan pernghasilan perbulan di kali 12 (disetahunkan)</t>
  </si>
  <si>
    <t>Data Pegawai Tetap</t>
  </si>
  <si>
    <t>Penghasilan (per bulan)</t>
  </si>
  <si>
    <t>Fajar Aribowo</t>
  </si>
  <si>
    <t>Kabag. Gudang</t>
  </si>
  <si>
    <t>04.156.341.2-405.000</t>
  </si>
  <si>
    <t>Budi Wijaya</t>
  </si>
  <si>
    <t>Kabag. Pembelian</t>
  </si>
  <si>
    <t>06.259.347.0-405.000</t>
  </si>
  <si>
    <t>Candra</t>
  </si>
  <si>
    <t>Kabag. Penjualan</t>
  </si>
  <si>
    <t>05.018.240.1-405.000</t>
  </si>
  <si>
    <t>Eka Likawati</t>
  </si>
  <si>
    <t>Staf Keuangan &amp; Akuntansi</t>
  </si>
  <si>
    <t>09.286.223.4-409.000</t>
  </si>
  <si>
    <t>Dewi</t>
  </si>
  <si>
    <t>Staf Pembelian</t>
  </si>
  <si>
    <t>06.072.605.6-409.000</t>
  </si>
  <si>
    <t>Beny</t>
  </si>
  <si>
    <t>Staf Penjualan</t>
  </si>
  <si>
    <t>26.025.128.5-406.000</t>
  </si>
  <si>
    <t>Karyo</t>
  </si>
  <si>
    <t>Staf Gudang</t>
  </si>
  <si>
    <t>31.349.632.5-406.000</t>
  </si>
  <si>
    <t>Tuti</t>
  </si>
  <si>
    <t>Admin. Gudang</t>
  </si>
  <si>
    <t>07.924.923.1-406.000</t>
  </si>
  <si>
    <t>Dadang</t>
  </si>
  <si>
    <t>Admin. Penjualan</t>
  </si>
  <si>
    <t>21.043.770.3-406.000</t>
  </si>
  <si>
    <t>Asep</t>
  </si>
  <si>
    <t>Admin. Pembelian</t>
  </si>
  <si>
    <t>07.926.081.6-406.000</t>
  </si>
  <si>
    <t>LAPIS 1</t>
  </si>
  <si>
    <t>LAPIS 2</t>
  </si>
  <si>
    <t>LAPIS 3</t>
  </si>
  <si>
    <t>LAPIS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</si>
</sst>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b/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44" fontId="2" fillId="0" borderId="4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44" fontId="2" fillId="0" borderId="10" xfId="0" applyNumberFormat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44" fontId="2" fillId="0" borderId="11" xfId="0" applyNumberFormat="1" applyFont="1" applyBorder="1" applyAlignment="1">
      <alignment vertical="center" wrapText="1"/>
    </xf>
    <xf numFmtId="44" fontId="2" fillId="0" borderId="4" xfId="1" applyNumberFormat="1" applyFont="1" applyBorder="1" applyAlignment="1">
      <alignment vertical="center" wrapText="1"/>
    </xf>
    <xf numFmtId="44" fontId="0" fillId="0" borderId="11" xfId="0" applyNumberFormat="1" applyBorder="1"/>
    <xf numFmtId="44" fontId="0" fillId="0" borderId="0" xfId="0" applyNumberFormat="1"/>
    <xf numFmtId="44" fontId="2" fillId="0" borderId="0" xfId="0" applyNumberFormat="1" applyFont="1" applyAlignment="1">
      <alignment vertical="center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8" xfId="0" applyFont="1" applyFill="1" applyBorder="1" applyAlignment="1">
      <alignment horizontal="left" vertical="center" wrapText="1" indent="1"/>
    </xf>
    <xf numFmtId="44" fontId="2" fillId="2" borderId="8" xfId="0" applyNumberFormat="1" applyFont="1" applyFill="1" applyBorder="1" applyAlignment="1">
      <alignment horizontal="center" vertical="center" wrapText="1"/>
    </xf>
    <xf numFmtId="44" fontId="5" fillId="2" borderId="8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 indent="1"/>
    </xf>
    <xf numFmtId="44" fontId="5" fillId="2" borderId="8" xfId="0" applyNumberFormat="1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44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44" fontId="0" fillId="2" borderId="13" xfId="0" applyNumberFormat="1" applyFill="1" applyBorder="1" applyAlignment="1">
      <alignment wrapText="1"/>
    </xf>
    <xf numFmtId="0" fontId="7" fillId="3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 wrapText="1" indent="1"/>
    </xf>
    <xf numFmtId="0" fontId="7" fillId="2" borderId="14" xfId="0" applyFont="1" applyFill="1" applyBorder="1" applyAlignment="1">
      <alignment vertical="center" wrapText="1"/>
    </xf>
    <xf numFmtId="44" fontId="7" fillId="2" borderId="14" xfId="0" applyNumberFormat="1" applyFont="1" applyFill="1" applyBorder="1" applyAlignment="1">
      <alignment vertical="center" wrapText="1"/>
    </xf>
    <xf numFmtId="44" fontId="0" fillId="2" borderId="14" xfId="0" applyNumberFormat="1" applyFill="1" applyBorder="1" applyAlignment="1">
      <alignment wrapText="1"/>
    </xf>
    <xf numFmtId="0" fontId="0" fillId="2" borderId="14" xfId="0" applyFill="1" applyBorder="1"/>
    <xf numFmtId="0" fontId="2" fillId="2" borderId="14" xfId="0" applyFont="1" applyFill="1" applyBorder="1" applyAlignment="1">
      <alignment horizontal="center" vertical="center" wrapText="1"/>
    </xf>
    <xf numFmtId="44" fontId="2" fillId="3" borderId="14" xfId="0" applyNumberFormat="1" applyFont="1" applyFill="1" applyBorder="1" applyAlignment="1">
      <alignment horizontal="center" vertical="center" wrapText="1"/>
    </xf>
    <xf numFmtId="44" fontId="7" fillId="3" borderId="14" xfId="0" applyNumberFormat="1" applyFont="1" applyFill="1" applyBorder="1" applyAlignment="1">
      <alignment horizontal="center" vertical="center" wrapText="1"/>
    </xf>
    <xf numFmtId="44" fontId="2" fillId="2" borderId="14" xfId="0" applyNumberFormat="1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44" fontId="7" fillId="2" borderId="15" xfId="0" applyNumberFormat="1" applyFont="1" applyFill="1" applyBorder="1" applyAlignment="1">
      <alignment vertical="center" wrapText="1"/>
    </xf>
    <xf numFmtId="44" fontId="0" fillId="2" borderId="15" xfId="0" applyNumberFormat="1" applyFill="1" applyBorder="1" applyAlignment="1">
      <alignment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left" vertical="center" wrapText="1" indent="1"/>
    </xf>
    <xf numFmtId="44" fontId="0" fillId="2" borderId="21" xfId="0" applyNumberFormat="1" applyFill="1" applyBorder="1" applyAlignment="1">
      <alignment wrapText="1"/>
    </xf>
    <xf numFmtId="0" fontId="5" fillId="2" borderId="22" xfId="0" applyFont="1" applyFill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7" fillId="2" borderId="24" xfId="0" applyFont="1" applyFill="1" applyBorder="1" applyAlignment="1">
      <alignment vertical="center" wrapText="1"/>
    </xf>
    <xf numFmtId="44" fontId="7" fillId="2" borderId="24" xfId="0" applyNumberFormat="1" applyFont="1" applyFill="1" applyBorder="1" applyAlignment="1">
      <alignment vertical="center" wrapText="1"/>
    </xf>
    <xf numFmtId="44" fontId="0" fillId="2" borderId="24" xfId="0" applyNumberFormat="1" applyFill="1" applyBorder="1" applyAlignment="1">
      <alignment wrapText="1"/>
    </xf>
    <xf numFmtId="0" fontId="0" fillId="2" borderId="25" xfId="0" applyFill="1" applyBorder="1"/>
    <xf numFmtId="0" fontId="0" fillId="2" borderId="21" xfId="0" applyFill="1" applyBorder="1" applyAlignment="1">
      <alignment wrapText="1"/>
    </xf>
    <xf numFmtId="0" fontId="7" fillId="2" borderId="16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44" fontId="7" fillId="2" borderId="16" xfId="0" applyNumberFormat="1" applyFont="1" applyFill="1" applyBorder="1" applyAlignment="1">
      <alignment vertical="center" wrapText="1"/>
    </xf>
    <xf numFmtId="44" fontId="7" fillId="2" borderId="15" xfId="0" applyNumberFormat="1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44" fontId="7" fillId="2" borderId="14" xfId="0" applyNumberFormat="1" applyFont="1" applyFill="1" applyBorder="1" applyAlignment="1">
      <alignment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vertical="center" wrapText="1"/>
    </xf>
    <xf numFmtId="44" fontId="7" fillId="2" borderId="24" xfId="0" applyNumberFormat="1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left" vertical="center" wrapText="1"/>
    </xf>
    <xf numFmtId="44" fontId="0" fillId="2" borderId="14" xfId="0" applyNumberFormat="1" applyFill="1" applyBorder="1" applyAlignment="1">
      <alignment vertical="center" wrapText="1"/>
    </xf>
    <xf numFmtId="44" fontId="0" fillId="2" borderId="21" xfId="0" applyNumberFormat="1" applyFill="1" applyBorder="1" applyAlignment="1">
      <alignment vertical="center" wrapText="1"/>
    </xf>
    <xf numFmtId="0" fontId="5" fillId="2" borderId="22" xfId="0" applyFont="1" applyFill="1" applyBorder="1" applyAlignment="1">
      <alignment horizontal="left" vertical="center" wrapText="1"/>
    </xf>
    <xf numFmtId="44" fontId="0" fillId="2" borderId="15" xfId="0" applyNumberFormat="1" applyFill="1" applyBorder="1" applyAlignment="1">
      <alignment vertical="center" wrapText="1"/>
    </xf>
    <xf numFmtId="44" fontId="0" fillId="2" borderId="0" xfId="0" applyNumberFormat="1" applyFill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5431-7C96-458F-828C-781C70F75D20}">
  <dimension ref="B3:E63"/>
  <sheetViews>
    <sheetView topLeftCell="A16" zoomScale="112" workbookViewId="0">
      <selection activeCell="E17" sqref="E17"/>
    </sheetView>
  </sheetViews>
  <sheetFormatPr defaultRowHeight="14.5" x14ac:dyDescent="0.35"/>
  <cols>
    <col min="3" max="3" width="18" customWidth="1"/>
    <col min="4" max="4" width="6.08984375" customWidth="1"/>
    <col min="5" max="5" width="18.6328125" customWidth="1"/>
  </cols>
  <sheetData>
    <row r="3" spans="2:5" x14ac:dyDescent="0.35">
      <c r="C3" s="7"/>
    </row>
    <row r="4" spans="2:5" x14ac:dyDescent="0.35">
      <c r="C4" s="7" t="s">
        <v>65</v>
      </c>
    </row>
    <row r="5" spans="2:5" x14ac:dyDescent="0.35">
      <c r="C5" s="7"/>
    </row>
    <row r="6" spans="2:5" ht="15" thickBot="1" x14ac:dyDescent="0.4">
      <c r="B6" s="8" t="s">
        <v>66</v>
      </c>
    </row>
    <row r="7" spans="2:5" ht="15" thickBot="1" x14ac:dyDescent="0.4">
      <c r="C7" s="1" t="s">
        <v>0</v>
      </c>
      <c r="D7" s="2" t="s">
        <v>1</v>
      </c>
      <c r="E7" s="2" t="s">
        <v>2</v>
      </c>
    </row>
    <row r="8" spans="2:5" ht="15" thickBot="1" x14ac:dyDescent="0.4">
      <c r="C8" s="3" t="s">
        <v>3</v>
      </c>
      <c r="D8" s="4">
        <v>1</v>
      </c>
      <c r="E8" s="15">
        <v>54000000</v>
      </c>
    </row>
    <row r="9" spans="2:5" ht="15" thickBot="1" x14ac:dyDescent="0.4">
      <c r="C9" s="3" t="s">
        <v>4</v>
      </c>
      <c r="D9" s="4">
        <v>2</v>
      </c>
      <c r="E9" s="9">
        <f>E8+4500000</f>
        <v>58500000</v>
      </c>
    </row>
    <row r="10" spans="2:5" ht="15" thickBot="1" x14ac:dyDescent="0.4">
      <c r="C10" s="3" t="s">
        <v>5</v>
      </c>
      <c r="D10" s="4">
        <v>3</v>
      </c>
      <c r="E10" s="9">
        <f>E9+4500000</f>
        <v>63000000</v>
      </c>
    </row>
    <row r="11" spans="2:5" x14ac:dyDescent="0.35">
      <c r="C11" s="10" t="s">
        <v>6</v>
      </c>
      <c r="D11" s="11">
        <v>4</v>
      </c>
      <c r="E11" s="12">
        <f>E10+4500000</f>
        <v>67500000</v>
      </c>
    </row>
    <row r="12" spans="2:5" x14ac:dyDescent="0.35">
      <c r="C12" s="13" t="s">
        <v>7</v>
      </c>
      <c r="D12" s="13">
        <v>5</v>
      </c>
      <c r="E12" s="16">
        <f>E8+4500000+(4500000*0)</f>
        <v>58500000</v>
      </c>
    </row>
    <row r="13" spans="2:5" x14ac:dyDescent="0.35">
      <c r="C13" s="13" t="s">
        <v>8</v>
      </c>
      <c r="D13" s="13">
        <v>6</v>
      </c>
      <c r="E13" s="16">
        <f t="shared" ref="E13:E15" si="0">E9+4500000+(4500000*0)</f>
        <v>63000000</v>
      </c>
    </row>
    <row r="14" spans="2:5" x14ac:dyDescent="0.35">
      <c r="C14" s="13" t="s">
        <v>9</v>
      </c>
      <c r="D14" s="13">
        <v>7</v>
      </c>
      <c r="E14" s="16">
        <f t="shared" si="0"/>
        <v>67500000</v>
      </c>
    </row>
    <row r="15" spans="2:5" x14ac:dyDescent="0.35">
      <c r="C15" s="13" t="s">
        <v>10</v>
      </c>
      <c r="D15" s="13">
        <v>8</v>
      </c>
      <c r="E15" s="16">
        <f t="shared" si="0"/>
        <v>72000000</v>
      </c>
    </row>
    <row r="16" spans="2:5" x14ac:dyDescent="0.35">
      <c r="C16" s="13" t="s">
        <v>11</v>
      </c>
      <c r="D16" s="13">
        <v>9</v>
      </c>
      <c r="E16" s="14">
        <f>E8+54000000+4500000+(4500000*0)</f>
        <v>112500000</v>
      </c>
    </row>
    <row r="17" spans="3:5" x14ac:dyDescent="0.35">
      <c r="C17" s="13" t="s">
        <v>12</v>
      </c>
      <c r="D17" s="13">
        <v>10</v>
      </c>
      <c r="E17" s="16">
        <f>E8+54000000+4500000+(4500000*1)</f>
        <v>117000000</v>
      </c>
    </row>
    <row r="18" spans="3:5" x14ac:dyDescent="0.35">
      <c r="C18" s="13" t="s">
        <v>13</v>
      </c>
      <c r="D18" s="13">
        <v>11</v>
      </c>
      <c r="E18" s="16">
        <f>E8+54000000+4500000+(4500000*2)</f>
        <v>121500000</v>
      </c>
    </row>
    <row r="19" spans="3:5" x14ac:dyDescent="0.35">
      <c r="C19" s="13" t="s">
        <v>14</v>
      </c>
      <c r="D19" s="13">
        <v>12</v>
      </c>
      <c r="E19" s="16">
        <f>E8+54000000+4500000+(4500000*3)</f>
        <v>126000000</v>
      </c>
    </row>
    <row r="20" spans="3:5" x14ac:dyDescent="0.35">
      <c r="C20" s="7"/>
    </row>
    <row r="63" spans="3:3" x14ac:dyDescent="0.35">
      <c r="C6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331C-5E0A-493D-B1A7-B44A618E3545}">
  <dimension ref="C2:J10"/>
  <sheetViews>
    <sheetView zoomScale="65" workbookViewId="0">
      <selection activeCell="E31" sqref="E31"/>
    </sheetView>
  </sheetViews>
  <sheetFormatPr defaultRowHeight="14.5" x14ac:dyDescent="0.35"/>
  <cols>
    <col min="3" max="3" width="7.6328125" customWidth="1"/>
    <col min="4" max="4" width="21.54296875" customWidth="1"/>
    <col min="5" max="5" width="21.36328125" customWidth="1"/>
    <col min="6" max="6" width="25.54296875" customWidth="1"/>
    <col min="7" max="7" width="15.90625" bestFit="1" customWidth="1"/>
    <col min="8" max="8" width="17" customWidth="1"/>
    <col min="9" max="9" width="17.453125" customWidth="1"/>
    <col min="10" max="10" width="16.90625" customWidth="1"/>
  </cols>
  <sheetData>
    <row r="2" spans="3:10" x14ac:dyDescent="0.35">
      <c r="C2" s="5"/>
    </row>
    <row r="4" spans="3:10" ht="15" thickBot="1" x14ac:dyDescent="0.4">
      <c r="C4" s="6" t="s">
        <v>67</v>
      </c>
    </row>
    <row r="5" spans="3:10" ht="29.5" thickBot="1" x14ac:dyDescent="0.4">
      <c r="C5" s="23" t="s">
        <v>15</v>
      </c>
      <c r="D5" s="25" t="s">
        <v>16</v>
      </c>
      <c r="E5" s="25" t="s">
        <v>17</v>
      </c>
      <c r="F5" s="25" t="s">
        <v>18</v>
      </c>
      <c r="G5" s="26" t="s">
        <v>103</v>
      </c>
      <c r="H5" s="26" t="s">
        <v>104</v>
      </c>
      <c r="I5" s="26" t="s">
        <v>105</v>
      </c>
      <c r="J5" s="26" t="s">
        <v>106</v>
      </c>
    </row>
    <row r="6" spans="3:10" ht="15.5" thickTop="1" thickBot="1" x14ac:dyDescent="0.4">
      <c r="C6" s="19">
        <v>1</v>
      </c>
      <c r="D6" s="20" t="s">
        <v>19</v>
      </c>
      <c r="E6" s="24">
        <v>132500000</v>
      </c>
      <c r="F6" s="21">
        <f>SUM(G6:H6)</f>
        <v>13875000</v>
      </c>
      <c r="G6" s="27">
        <f>60000000*5%</f>
        <v>3000000</v>
      </c>
      <c r="H6" s="27">
        <f>(E6-60000000)*15%</f>
        <v>10875000</v>
      </c>
      <c r="I6" s="28"/>
      <c r="J6" s="28"/>
    </row>
    <row r="7" spans="3:10" ht="15" thickBot="1" x14ac:dyDescent="0.4">
      <c r="C7" s="19">
        <v>2</v>
      </c>
      <c r="D7" s="20" t="s">
        <v>20</v>
      </c>
      <c r="E7" s="24">
        <v>415600000</v>
      </c>
      <c r="F7" s="22">
        <f>SUM(G7:I7)</f>
        <v>72900000</v>
      </c>
      <c r="G7" s="27">
        <f>60000000*5%</f>
        <v>3000000</v>
      </c>
      <c r="H7" s="27">
        <f>(250000000-60000000)*15%</f>
        <v>28500000</v>
      </c>
      <c r="I7" s="27">
        <f>(E7-250000000)*25%</f>
        <v>41400000</v>
      </c>
      <c r="J7" s="28"/>
    </row>
    <row r="8" spans="3:10" ht="15" thickBot="1" x14ac:dyDescent="0.4">
      <c r="C8" s="19">
        <v>3</v>
      </c>
      <c r="D8" s="20" t="s">
        <v>21</v>
      </c>
      <c r="E8" s="24">
        <v>425200000</v>
      </c>
      <c r="F8" s="22">
        <f>SUM(G8:I8)</f>
        <v>75300000</v>
      </c>
      <c r="G8" s="27">
        <f>60000000*5%</f>
        <v>3000000</v>
      </c>
      <c r="H8" s="27">
        <f>(250000000-60000000)*15%</f>
        <v>28500000</v>
      </c>
      <c r="I8" s="27">
        <f t="shared" ref="I8" si="0">(E8-250000000)*25%</f>
        <v>43800000</v>
      </c>
      <c r="J8" s="28"/>
    </row>
    <row r="9" spans="3:10" ht="15" thickBot="1" x14ac:dyDescent="0.4">
      <c r="C9" s="19">
        <v>4</v>
      </c>
      <c r="D9" s="20" t="s">
        <v>22</v>
      </c>
      <c r="E9" s="24">
        <v>556600000</v>
      </c>
      <c r="F9" s="22">
        <f>SUM(G9:J9)</f>
        <v>110980000</v>
      </c>
      <c r="G9" s="27">
        <f>60000000*5%</f>
        <v>3000000</v>
      </c>
      <c r="H9" s="27">
        <f t="shared" ref="H9:H10" si="1">(250000000-60000000)*15%</f>
        <v>28500000</v>
      </c>
      <c r="I9" s="27">
        <f>(500000000-250000000)*25%</f>
        <v>62500000</v>
      </c>
      <c r="J9" s="27">
        <f>(E9-500000000)*30%</f>
        <v>16980000</v>
      </c>
    </row>
    <row r="10" spans="3:10" ht="15" thickBot="1" x14ac:dyDescent="0.4">
      <c r="C10" s="19">
        <v>5</v>
      </c>
      <c r="D10" s="20" t="s">
        <v>23</v>
      </c>
      <c r="E10" s="24">
        <v>789500000</v>
      </c>
      <c r="F10" s="22">
        <f>SUM(G10:J10)</f>
        <v>180850000</v>
      </c>
      <c r="G10" s="27">
        <f>60000000*5%</f>
        <v>3000000</v>
      </c>
      <c r="H10" s="27">
        <f t="shared" si="1"/>
        <v>28500000</v>
      </c>
      <c r="I10" s="27">
        <f>(500000000-250000000)*25%</f>
        <v>62500000</v>
      </c>
      <c r="J10" s="27">
        <f>(E10-500000000)*30%</f>
        <v>86850000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ED83-311C-4D1D-81A7-BAFB7E4DC54D}">
  <dimension ref="C2:AA33"/>
  <sheetViews>
    <sheetView tabSelected="1" topLeftCell="I4" zoomScale="53" zoomScaleNormal="85" workbookViewId="0">
      <selection activeCell="W9" sqref="W9"/>
    </sheetView>
  </sheetViews>
  <sheetFormatPr defaultRowHeight="14.5" x14ac:dyDescent="0.35"/>
  <cols>
    <col min="4" max="4" width="27.54296875" customWidth="1"/>
    <col min="6" max="6" width="18.54296875" customWidth="1"/>
    <col min="7" max="7" width="21.1796875" customWidth="1"/>
    <col min="8" max="8" width="17.453125" customWidth="1"/>
    <col min="9" max="9" width="19.1796875" customWidth="1"/>
    <col min="10" max="10" width="25.54296875" customWidth="1"/>
    <col min="11" max="11" width="21.81640625" customWidth="1"/>
    <col min="12" max="12" width="20.7265625" customWidth="1"/>
    <col min="13" max="13" width="18.90625" customWidth="1"/>
    <col min="14" max="14" width="19.81640625" customWidth="1"/>
    <col min="15" max="15" width="24.90625" customWidth="1"/>
    <col min="16" max="16" width="16.26953125" customWidth="1"/>
    <col min="17" max="17" width="26.453125" customWidth="1"/>
    <col min="18" max="18" width="8.6328125" customWidth="1"/>
    <col min="19" max="19" width="23.453125" customWidth="1"/>
    <col min="20" max="20" width="20.26953125" customWidth="1"/>
    <col min="21" max="21" width="20.453125" customWidth="1"/>
    <col min="22" max="22" width="22.7265625" customWidth="1"/>
    <col min="23" max="23" width="21.453125" customWidth="1"/>
    <col min="24" max="24" width="20.36328125" customWidth="1"/>
    <col min="25" max="25" width="15.54296875" customWidth="1"/>
    <col min="26" max="26" width="18.81640625" customWidth="1"/>
    <col min="27" max="27" width="17.6328125" customWidth="1"/>
  </cols>
  <sheetData>
    <row r="2" spans="3:27" x14ac:dyDescent="0.35">
      <c r="C2" s="6" t="s">
        <v>68</v>
      </c>
    </row>
    <row r="3" spans="3:27" x14ac:dyDescent="0.35">
      <c r="C3" s="7" t="s">
        <v>69</v>
      </c>
    </row>
    <row r="4" spans="3:27" ht="15" thickBot="1" x14ac:dyDescent="0.4">
      <c r="C4" s="7" t="s">
        <v>70</v>
      </c>
    </row>
    <row r="5" spans="3:27" ht="29" x14ac:dyDescent="0.35">
      <c r="C5" s="43" t="s">
        <v>1</v>
      </c>
      <c r="D5" s="44" t="s">
        <v>24</v>
      </c>
      <c r="E5" s="44" t="s">
        <v>25</v>
      </c>
      <c r="F5" s="44" t="s">
        <v>26</v>
      </c>
      <c r="G5" s="44" t="s">
        <v>27</v>
      </c>
      <c r="H5" s="44" t="s">
        <v>28</v>
      </c>
      <c r="I5" s="44" t="s">
        <v>29</v>
      </c>
      <c r="J5" s="44" t="s">
        <v>30</v>
      </c>
      <c r="K5" s="44" t="s">
        <v>18</v>
      </c>
      <c r="L5" s="44" t="s">
        <v>103</v>
      </c>
      <c r="M5" s="44" t="s">
        <v>104</v>
      </c>
      <c r="N5" s="45" t="s">
        <v>105</v>
      </c>
      <c r="P5" s="37" t="s">
        <v>1</v>
      </c>
      <c r="Q5" s="37" t="s">
        <v>24</v>
      </c>
      <c r="R5" s="37" t="s">
        <v>25</v>
      </c>
      <c r="S5" s="37" t="s">
        <v>26</v>
      </c>
      <c r="T5" s="37" t="s">
        <v>27</v>
      </c>
      <c r="U5" s="38" t="s">
        <v>72</v>
      </c>
      <c r="V5" s="38" t="s">
        <v>29</v>
      </c>
      <c r="W5" s="38" t="s">
        <v>30</v>
      </c>
      <c r="X5" s="38" t="s">
        <v>18</v>
      </c>
      <c r="Y5" s="30" t="s">
        <v>103</v>
      </c>
      <c r="Z5" s="30" t="s">
        <v>104</v>
      </c>
      <c r="AA5" s="30" t="s">
        <v>105</v>
      </c>
    </row>
    <row r="6" spans="3:27" ht="47.5" customHeight="1" x14ac:dyDescent="0.35">
      <c r="C6" s="46">
        <v>1</v>
      </c>
      <c r="D6" s="32" t="s">
        <v>31</v>
      </c>
      <c r="E6" s="32" t="s">
        <v>32</v>
      </c>
      <c r="F6" s="32" t="s">
        <v>33</v>
      </c>
      <c r="G6" s="32" t="s">
        <v>34</v>
      </c>
      <c r="H6" s="33">
        <v>35900000</v>
      </c>
      <c r="I6" s="33">
        <v>72000000</v>
      </c>
      <c r="J6" s="33">
        <f>(H6*12)-I6</f>
        <v>358800000</v>
      </c>
      <c r="K6" s="33">
        <f>L6+M6+N6</f>
        <v>58700000</v>
      </c>
      <c r="L6" s="34">
        <f>60000000*5%</f>
        <v>3000000</v>
      </c>
      <c r="M6" s="34">
        <f>(250000000-60000000)*15%</f>
        <v>28500000</v>
      </c>
      <c r="N6" s="47">
        <f>(J6-250000000)*25%</f>
        <v>27200000</v>
      </c>
      <c r="P6" s="66">
        <v>1</v>
      </c>
      <c r="Q6" s="32" t="s">
        <v>31</v>
      </c>
      <c r="R6" s="32" t="s">
        <v>32</v>
      </c>
      <c r="S6" s="32" t="s">
        <v>33</v>
      </c>
      <c r="T6" s="32" t="s">
        <v>34</v>
      </c>
      <c r="U6" s="33">
        <v>35900000</v>
      </c>
      <c r="V6" s="33">
        <v>72000000</v>
      </c>
      <c r="W6" s="33">
        <f>(U6*12)-V6</f>
        <v>358800000</v>
      </c>
      <c r="X6" s="33">
        <f>Y6+Z6+AA6</f>
        <v>58700000</v>
      </c>
      <c r="Y6" s="67">
        <f>60000000*5%</f>
        <v>3000000</v>
      </c>
      <c r="Z6" s="67">
        <f>(250000000-60000000)*15%</f>
        <v>28500000</v>
      </c>
      <c r="AA6" s="68">
        <f>(W6-250000000)*25%</f>
        <v>27200000</v>
      </c>
    </row>
    <row r="7" spans="3:27" ht="40.5" customHeight="1" x14ac:dyDescent="0.35">
      <c r="C7" s="48">
        <v>2</v>
      </c>
      <c r="D7" s="40" t="s">
        <v>35</v>
      </c>
      <c r="E7" s="40" t="s">
        <v>36</v>
      </c>
      <c r="F7" s="40" t="s">
        <v>37</v>
      </c>
      <c r="G7" s="40" t="s">
        <v>38</v>
      </c>
      <c r="H7" s="41">
        <v>34900000</v>
      </c>
      <c r="I7" s="41">
        <v>67500000</v>
      </c>
      <c r="J7" s="41">
        <f>(H7*12)-I7</f>
        <v>351300000</v>
      </c>
      <c r="K7" s="41">
        <f>SUM(L7:N7)</f>
        <v>56825000</v>
      </c>
      <c r="L7" s="42">
        <f>60000000*5%</f>
        <v>3000000</v>
      </c>
      <c r="M7" s="27">
        <f t="shared" ref="M7:M15" si="0">(250000000-60000000)*15%</f>
        <v>28500000</v>
      </c>
      <c r="N7" s="47">
        <f>(J7-250000000)*25%</f>
        <v>25325000</v>
      </c>
      <c r="P7" s="69">
        <v>2</v>
      </c>
      <c r="Q7" s="40" t="s">
        <v>35</v>
      </c>
      <c r="R7" s="40" t="s">
        <v>36</v>
      </c>
      <c r="S7" s="40" t="s">
        <v>37</v>
      </c>
      <c r="T7" s="40" t="s">
        <v>38</v>
      </c>
      <c r="U7" s="41">
        <v>34900000</v>
      </c>
      <c r="V7" s="41">
        <v>67500000</v>
      </c>
      <c r="W7" s="41">
        <f>(U7*12)-V7</f>
        <v>351300000</v>
      </c>
      <c r="X7" s="41">
        <f>SUM(Y7:AA7)</f>
        <v>56825000</v>
      </c>
      <c r="Y7" s="70">
        <f>60000000*5%</f>
        <v>3000000</v>
      </c>
      <c r="Z7" s="71">
        <f t="shared" ref="Z7:Z9" si="1">(250000000-60000000)*15%</f>
        <v>28500000</v>
      </c>
      <c r="AA7" s="68">
        <f>(W7-250000000)*25%</f>
        <v>25325000</v>
      </c>
    </row>
    <row r="8" spans="3:27" ht="32.5" customHeight="1" x14ac:dyDescent="0.35">
      <c r="C8" s="46">
        <v>3</v>
      </c>
      <c r="D8" s="32" t="s">
        <v>39</v>
      </c>
      <c r="E8" s="32" t="s">
        <v>40</v>
      </c>
      <c r="F8" s="32" t="s">
        <v>37</v>
      </c>
      <c r="G8" s="32" t="s">
        <v>41</v>
      </c>
      <c r="H8" s="33">
        <v>33900000</v>
      </c>
      <c r="I8" s="33">
        <v>72000000</v>
      </c>
      <c r="J8" s="41">
        <f t="shared" ref="J8" si="2">(H8*12)-I8</f>
        <v>334800000</v>
      </c>
      <c r="K8" s="41">
        <f>SUM(L8:N8)</f>
        <v>52700000</v>
      </c>
      <c r="L8" s="34">
        <f>60000000*5%</f>
        <v>3000000</v>
      </c>
      <c r="M8" s="27">
        <f t="shared" si="0"/>
        <v>28500000</v>
      </c>
      <c r="N8" s="47">
        <f>(J8-250000000)*25%</f>
        <v>21200000</v>
      </c>
      <c r="P8" s="66">
        <v>3</v>
      </c>
      <c r="Q8" s="32" t="s">
        <v>39</v>
      </c>
      <c r="R8" s="32" t="s">
        <v>40</v>
      </c>
      <c r="S8" s="32" t="s">
        <v>37</v>
      </c>
      <c r="T8" s="32" t="s">
        <v>41</v>
      </c>
      <c r="U8" s="33">
        <v>33900000</v>
      </c>
      <c r="V8" s="33">
        <v>72000000</v>
      </c>
      <c r="W8" s="41">
        <f t="shared" ref="W8:W9" si="3">(U8*12)-V8</f>
        <v>334800000</v>
      </c>
      <c r="X8" s="41">
        <f>SUM(Y8:AA8)</f>
        <v>52700000</v>
      </c>
      <c r="Y8" s="67">
        <f>60000000*5%</f>
        <v>3000000</v>
      </c>
      <c r="Z8" s="71">
        <f t="shared" si="1"/>
        <v>28500000</v>
      </c>
      <c r="AA8" s="68">
        <f>(W8-250000000)*25%</f>
        <v>21200000</v>
      </c>
    </row>
    <row r="9" spans="3:27" ht="33.5" customHeight="1" x14ac:dyDescent="0.35">
      <c r="C9" s="49">
        <v>4</v>
      </c>
      <c r="D9" s="32" t="s">
        <v>42</v>
      </c>
      <c r="E9" s="56" t="s">
        <v>43</v>
      </c>
      <c r="F9" s="56" t="s">
        <v>44</v>
      </c>
      <c r="G9" s="56" t="s">
        <v>45</v>
      </c>
      <c r="H9" s="33">
        <v>32900000</v>
      </c>
      <c r="I9" s="58">
        <v>72000000</v>
      </c>
      <c r="J9" s="58">
        <f t="shared" ref="J9" si="4">(H9*12)-I9</f>
        <v>322800000</v>
      </c>
      <c r="K9" s="58">
        <f>SUM(L9:N9)</f>
        <v>49700000</v>
      </c>
      <c r="L9" s="34">
        <f t="shared" ref="L9:L17" si="5">60000000*5%</f>
        <v>3000000</v>
      </c>
      <c r="M9" s="27">
        <f t="shared" si="0"/>
        <v>28500000</v>
      </c>
      <c r="N9" s="47">
        <f>(J9-250000000)*25%</f>
        <v>18200000</v>
      </c>
      <c r="P9" s="31">
        <v>4</v>
      </c>
      <c r="Q9" s="32" t="s">
        <v>42</v>
      </c>
      <c r="R9" s="39" t="s">
        <v>43</v>
      </c>
      <c r="S9" s="39" t="s">
        <v>44</v>
      </c>
      <c r="T9" s="39" t="s">
        <v>45</v>
      </c>
      <c r="U9" s="33">
        <v>32900000</v>
      </c>
      <c r="V9" s="33">
        <v>54000000</v>
      </c>
      <c r="W9" s="39">
        <f t="shared" ref="W7:W13" si="6">(U9*12)-V9</f>
        <v>340800000</v>
      </c>
      <c r="X9" s="39">
        <f t="shared" ref="X7:X13" si="7">SUM(Y9:AA9)</f>
        <v>54200000</v>
      </c>
      <c r="Y9" s="67">
        <f t="shared" ref="Y9" si="8">60000000*5%</f>
        <v>3000000</v>
      </c>
      <c r="Z9" s="71">
        <f t="shared" si="1"/>
        <v>28500000</v>
      </c>
      <c r="AA9" s="68">
        <f>(W9-250000000)*25%</f>
        <v>22700000</v>
      </c>
    </row>
    <row r="10" spans="3:27" x14ac:dyDescent="0.35">
      <c r="C10" s="49"/>
      <c r="D10" s="32"/>
      <c r="E10" s="57"/>
      <c r="F10" s="57"/>
      <c r="G10" s="57"/>
      <c r="H10" s="33"/>
      <c r="I10" s="59"/>
      <c r="J10" s="59"/>
      <c r="K10" s="59"/>
      <c r="L10" s="34"/>
      <c r="M10" s="27"/>
      <c r="N10" s="50"/>
      <c r="P10" s="31"/>
      <c r="Q10" s="39"/>
      <c r="R10" s="39"/>
      <c r="S10" s="39"/>
      <c r="T10" s="39"/>
      <c r="U10" s="33"/>
      <c r="V10" s="33"/>
      <c r="W10" s="39"/>
      <c r="X10" s="39"/>
      <c r="Y10" s="34"/>
      <c r="Z10" s="34"/>
      <c r="AA10" s="34"/>
    </row>
    <row r="11" spans="3:27" ht="58.5" customHeight="1" x14ac:dyDescent="0.35">
      <c r="C11" s="49">
        <v>5</v>
      </c>
      <c r="D11" s="32" t="s">
        <v>46</v>
      </c>
      <c r="E11" s="60" t="s">
        <v>48</v>
      </c>
      <c r="F11" s="60" t="s">
        <v>49</v>
      </c>
      <c r="G11" s="60" t="s">
        <v>50</v>
      </c>
      <c r="H11" s="33">
        <v>27900000</v>
      </c>
      <c r="I11" s="61">
        <v>54000000</v>
      </c>
      <c r="J11" s="59">
        <f>(H11*12)-I11</f>
        <v>280800000</v>
      </c>
      <c r="K11" s="59">
        <f>SUM(L11:N11)</f>
        <v>39200000</v>
      </c>
      <c r="L11" s="34">
        <f t="shared" si="5"/>
        <v>3000000</v>
      </c>
      <c r="M11" s="27">
        <f t="shared" si="0"/>
        <v>28500000</v>
      </c>
      <c r="N11" s="47">
        <f>(J11-250000000)*25%</f>
        <v>7700000</v>
      </c>
      <c r="P11" s="36"/>
      <c r="Q11" s="39"/>
      <c r="R11" s="39"/>
      <c r="S11" s="39"/>
      <c r="T11" s="39"/>
      <c r="U11" s="33"/>
      <c r="V11" s="33"/>
      <c r="W11" s="39"/>
      <c r="X11" s="39"/>
      <c r="Y11" s="34"/>
      <c r="Z11" s="34"/>
      <c r="AA11" s="35"/>
    </row>
    <row r="12" spans="3:27" ht="54.5" customHeight="1" x14ac:dyDescent="0.35">
      <c r="C12" s="49"/>
      <c r="D12" s="32" t="s">
        <v>47</v>
      </c>
      <c r="E12" s="60"/>
      <c r="F12" s="60"/>
      <c r="G12" s="60"/>
      <c r="H12" s="33"/>
      <c r="I12" s="61"/>
      <c r="J12" s="61"/>
      <c r="K12" s="60"/>
      <c r="L12" s="34"/>
      <c r="M12" s="27"/>
      <c r="N12" s="50"/>
      <c r="P12" s="36"/>
      <c r="Q12" s="39"/>
      <c r="R12" s="39"/>
      <c r="S12" s="39"/>
      <c r="T12" s="39"/>
      <c r="U12" s="33"/>
      <c r="V12" s="33"/>
      <c r="W12" s="39"/>
      <c r="X12" s="39"/>
      <c r="Y12" s="34"/>
      <c r="Z12" s="34"/>
      <c r="AA12" s="35"/>
    </row>
    <row r="13" spans="3:27" ht="58.5" customHeight="1" x14ac:dyDescent="0.35">
      <c r="C13" s="62">
        <v>6</v>
      </c>
      <c r="D13" s="32" t="s">
        <v>51</v>
      </c>
      <c r="E13" s="60" t="s">
        <v>53</v>
      </c>
      <c r="F13" s="60" t="s">
        <v>54</v>
      </c>
      <c r="G13" s="60" t="s">
        <v>55</v>
      </c>
      <c r="H13" s="33">
        <v>26900000</v>
      </c>
      <c r="I13" s="61">
        <v>63000000</v>
      </c>
      <c r="J13" s="59">
        <f>(H13*12)-I13</f>
        <v>259800000</v>
      </c>
      <c r="K13" s="59">
        <f>SUM(L13:N13)</f>
        <v>33950000</v>
      </c>
      <c r="L13" s="34">
        <f t="shared" si="5"/>
        <v>3000000</v>
      </c>
      <c r="M13" s="27">
        <f t="shared" si="0"/>
        <v>28500000</v>
      </c>
      <c r="N13" s="47">
        <f>(J13-250000000)*25%</f>
        <v>2450000</v>
      </c>
      <c r="P13" s="36"/>
      <c r="Q13" s="39"/>
      <c r="R13" s="39"/>
      <c r="S13" s="39"/>
      <c r="T13" s="39"/>
      <c r="U13" s="33"/>
      <c r="V13" s="33"/>
      <c r="W13" s="39"/>
      <c r="X13" s="39"/>
      <c r="Y13" s="34"/>
      <c r="Z13" s="34"/>
      <c r="AA13" s="35"/>
    </row>
    <row r="14" spans="3:27" ht="27" customHeight="1" x14ac:dyDescent="0.35">
      <c r="C14" s="62"/>
      <c r="D14" s="32" t="s">
        <v>52</v>
      </c>
      <c r="E14" s="60"/>
      <c r="F14" s="60"/>
      <c r="G14" s="60"/>
      <c r="H14" s="33"/>
      <c r="I14" s="61"/>
      <c r="J14" s="61"/>
      <c r="K14" s="60"/>
      <c r="L14" s="34"/>
      <c r="M14" s="27"/>
      <c r="N14" s="55"/>
    </row>
    <row r="15" spans="3:27" x14ac:dyDescent="0.35">
      <c r="C15" s="62">
        <v>7</v>
      </c>
      <c r="D15" s="32" t="s">
        <v>56</v>
      </c>
      <c r="E15" s="60" t="s">
        <v>58</v>
      </c>
      <c r="F15" s="60" t="s">
        <v>59</v>
      </c>
      <c r="G15" s="60" t="s">
        <v>60</v>
      </c>
      <c r="H15" s="33">
        <v>25900000</v>
      </c>
      <c r="I15" s="61">
        <v>58500000</v>
      </c>
      <c r="J15" s="59">
        <f>(H15*12)-I15</f>
        <v>252300000</v>
      </c>
      <c r="K15" s="59">
        <f>SUM(L15:N15)</f>
        <v>32075000</v>
      </c>
      <c r="L15" s="34">
        <f t="shared" si="5"/>
        <v>3000000</v>
      </c>
      <c r="M15" s="27">
        <f t="shared" si="0"/>
        <v>28500000</v>
      </c>
      <c r="N15" s="47">
        <f>(J15-250000000)*25%</f>
        <v>575000</v>
      </c>
    </row>
    <row r="16" spans="3:27" x14ac:dyDescent="0.35">
      <c r="C16" s="62"/>
      <c r="D16" s="32" t="s">
        <v>57</v>
      </c>
      <c r="E16" s="60"/>
      <c r="F16" s="60"/>
      <c r="G16" s="60"/>
      <c r="H16" s="33"/>
      <c r="I16" s="61"/>
      <c r="J16" s="61"/>
      <c r="K16" s="60"/>
      <c r="L16" s="34"/>
      <c r="M16" s="27"/>
      <c r="N16" s="50"/>
    </row>
    <row r="17" spans="3:14" x14ac:dyDescent="0.35">
      <c r="C17" s="62">
        <v>8</v>
      </c>
      <c r="D17" s="32" t="s">
        <v>61</v>
      </c>
      <c r="E17" s="60" t="s">
        <v>40</v>
      </c>
      <c r="F17" s="60" t="s">
        <v>63</v>
      </c>
      <c r="G17" s="60" t="s">
        <v>64</v>
      </c>
      <c r="H17" s="33">
        <v>24900000</v>
      </c>
      <c r="I17" s="61">
        <v>72000000</v>
      </c>
      <c r="J17" s="59">
        <f>(H17*12)-I17</f>
        <v>226800000</v>
      </c>
      <c r="K17" s="59">
        <f>SUM(L17:N17)</f>
        <v>28020000</v>
      </c>
      <c r="L17" s="34">
        <f t="shared" si="5"/>
        <v>3000000</v>
      </c>
      <c r="M17" s="27">
        <f>(J17-60000000)*15%</f>
        <v>25020000</v>
      </c>
      <c r="N17" s="47"/>
    </row>
    <row r="18" spans="3:14" ht="29.5" thickBot="1" x14ac:dyDescent="0.4">
      <c r="C18" s="63"/>
      <c r="D18" s="51" t="s">
        <v>62</v>
      </c>
      <c r="E18" s="64"/>
      <c r="F18" s="64"/>
      <c r="G18" s="64"/>
      <c r="H18" s="52"/>
      <c r="I18" s="65"/>
      <c r="J18" s="65"/>
      <c r="K18" s="64"/>
      <c r="L18" s="53"/>
      <c r="M18" s="29"/>
      <c r="N18" s="54"/>
    </row>
    <row r="19" spans="3:14" x14ac:dyDescent="0.35">
      <c r="C19" s="7"/>
      <c r="I19" s="17"/>
    </row>
    <row r="22" spans="3:14" x14ac:dyDescent="0.35">
      <c r="C22" s="18" t="s">
        <v>71</v>
      </c>
      <c r="D22" s="17"/>
      <c r="E22" s="17"/>
      <c r="F22" s="17"/>
      <c r="G22" s="17"/>
      <c r="H22" s="17"/>
      <c r="I22" s="17"/>
      <c r="J22" s="17"/>
      <c r="K22" s="17"/>
    </row>
    <row r="23" spans="3:14" ht="29" x14ac:dyDescent="0.35">
      <c r="C23" s="37" t="s">
        <v>1</v>
      </c>
      <c r="D23" s="37" t="s">
        <v>24</v>
      </c>
      <c r="E23" s="37" t="s">
        <v>25</v>
      </c>
      <c r="F23" s="37" t="s">
        <v>26</v>
      </c>
      <c r="G23" s="37" t="s">
        <v>27</v>
      </c>
      <c r="H23" s="38" t="s">
        <v>72</v>
      </c>
      <c r="I23" s="38" t="s">
        <v>29</v>
      </c>
      <c r="J23" s="38" t="s">
        <v>30</v>
      </c>
      <c r="K23" s="38" t="s">
        <v>18</v>
      </c>
      <c r="L23" s="30" t="s">
        <v>103</v>
      </c>
      <c r="M23" s="30" t="s">
        <v>104</v>
      </c>
      <c r="N23" s="30" t="s">
        <v>105</v>
      </c>
    </row>
    <row r="24" spans="3:14" x14ac:dyDescent="0.35">
      <c r="C24" s="31">
        <v>1</v>
      </c>
      <c r="D24" s="39" t="s">
        <v>73</v>
      </c>
      <c r="E24" s="39" t="s">
        <v>40</v>
      </c>
      <c r="F24" s="39" t="s">
        <v>74</v>
      </c>
      <c r="G24" s="39" t="s">
        <v>75</v>
      </c>
      <c r="H24" s="33">
        <v>34900000</v>
      </c>
      <c r="I24" s="39">
        <v>72000000</v>
      </c>
      <c r="J24" s="39">
        <f>(H24*12)-I24</f>
        <v>346800000</v>
      </c>
      <c r="K24" s="39">
        <f>SUM(L24:N24)</f>
        <v>55700000</v>
      </c>
      <c r="L24" s="34">
        <f t="shared" ref="L24:L29" si="9">60000000*5%</f>
        <v>3000000</v>
      </c>
      <c r="M24" s="34">
        <f>(250000000-60000000)*15%</f>
        <v>28500000</v>
      </c>
      <c r="N24" s="34">
        <f>(J24-250000000)*25%</f>
        <v>24200000</v>
      </c>
    </row>
    <row r="25" spans="3:14" x14ac:dyDescent="0.35">
      <c r="C25" s="31">
        <v>2</v>
      </c>
      <c r="D25" s="39" t="s">
        <v>76</v>
      </c>
      <c r="E25" s="39" t="s">
        <v>36</v>
      </c>
      <c r="F25" s="39" t="s">
        <v>77</v>
      </c>
      <c r="G25" s="39" t="s">
        <v>78</v>
      </c>
      <c r="H25" s="33">
        <v>33900000</v>
      </c>
      <c r="I25" s="33">
        <v>67500000</v>
      </c>
      <c r="J25" s="39">
        <f t="shared" ref="J25:J33" si="10">(H25*12)-I25</f>
        <v>339300000</v>
      </c>
      <c r="K25" s="39">
        <f t="shared" ref="K25:K33" si="11">SUM(L25:N25)</f>
        <v>53825000</v>
      </c>
      <c r="L25" s="34">
        <f t="shared" si="9"/>
        <v>3000000</v>
      </c>
      <c r="M25" s="34">
        <f t="shared" ref="M25:M27" si="12">(250000000-60000000)*15%</f>
        <v>28500000</v>
      </c>
      <c r="N25" s="34">
        <f t="shared" ref="N25:N28" si="13">(J25-250000000)*25%</f>
        <v>22325000</v>
      </c>
    </row>
    <row r="26" spans="3:14" x14ac:dyDescent="0.35">
      <c r="C26" s="31">
        <v>3</v>
      </c>
      <c r="D26" s="39" t="s">
        <v>79</v>
      </c>
      <c r="E26" s="39" t="s">
        <v>53</v>
      </c>
      <c r="F26" s="39" t="s">
        <v>80</v>
      </c>
      <c r="G26" s="39" t="s">
        <v>81</v>
      </c>
      <c r="H26" s="33">
        <v>32900000</v>
      </c>
      <c r="I26" s="33">
        <v>63000000</v>
      </c>
      <c r="J26" s="39">
        <f t="shared" si="10"/>
        <v>331800000</v>
      </c>
      <c r="K26" s="39">
        <f t="shared" si="11"/>
        <v>51950000</v>
      </c>
      <c r="L26" s="34">
        <f t="shared" si="9"/>
        <v>3000000</v>
      </c>
      <c r="M26" s="34">
        <f t="shared" si="12"/>
        <v>28500000</v>
      </c>
      <c r="N26" s="34">
        <f t="shared" si="13"/>
        <v>20450000</v>
      </c>
    </row>
    <row r="27" spans="3:14" ht="29" x14ac:dyDescent="0.35">
      <c r="C27" s="31">
        <v>4</v>
      </c>
      <c r="D27" s="39" t="s">
        <v>82</v>
      </c>
      <c r="E27" s="39" t="s">
        <v>48</v>
      </c>
      <c r="F27" s="39" t="s">
        <v>83</v>
      </c>
      <c r="G27" s="39" t="s">
        <v>84</v>
      </c>
      <c r="H27" s="33">
        <v>27900000</v>
      </c>
      <c r="I27" s="33">
        <v>54000000</v>
      </c>
      <c r="J27" s="39">
        <f t="shared" si="10"/>
        <v>280800000</v>
      </c>
      <c r="K27" s="39">
        <f t="shared" si="11"/>
        <v>39200000</v>
      </c>
      <c r="L27" s="34">
        <f t="shared" si="9"/>
        <v>3000000</v>
      </c>
      <c r="M27" s="34">
        <f t="shared" si="12"/>
        <v>28500000</v>
      </c>
      <c r="N27" s="34">
        <f t="shared" si="13"/>
        <v>7700000</v>
      </c>
    </row>
    <row r="28" spans="3:14" x14ac:dyDescent="0.35">
      <c r="C28" s="31">
        <v>5</v>
      </c>
      <c r="D28" s="39" t="s">
        <v>85</v>
      </c>
      <c r="E28" s="39" t="s">
        <v>48</v>
      </c>
      <c r="F28" s="39" t="s">
        <v>86</v>
      </c>
      <c r="G28" s="39" t="s">
        <v>87</v>
      </c>
      <c r="H28" s="33">
        <v>26900000</v>
      </c>
      <c r="I28" s="33">
        <v>54000000</v>
      </c>
      <c r="J28" s="39">
        <f t="shared" si="10"/>
        <v>268800000</v>
      </c>
      <c r="K28" s="39">
        <f t="shared" si="11"/>
        <v>36200000</v>
      </c>
      <c r="L28" s="34">
        <f t="shared" si="9"/>
        <v>3000000</v>
      </c>
      <c r="M28" s="34">
        <f>(250000000-60000000)*15%</f>
        <v>28500000</v>
      </c>
      <c r="N28" s="34">
        <f t="shared" si="13"/>
        <v>4700000</v>
      </c>
    </row>
    <row r="29" spans="3:14" x14ac:dyDescent="0.35">
      <c r="C29" s="36">
        <v>6</v>
      </c>
      <c r="D29" s="39" t="s">
        <v>88</v>
      </c>
      <c r="E29" s="39" t="s">
        <v>53</v>
      </c>
      <c r="F29" s="39" t="s">
        <v>89</v>
      </c>
      <c r="G29" s="39" t="s">
        <v>90</v>
      </c>
      <c r="H29" s="33">
        <v>25900000</v>
      </c>
      <c r="I29" s="33">
        <v>63000000</v>
      </c>
      <c r="J29" s="39">
        <f t="shared" si="10"/>
        <v>247800000</v>
      </c>
      <c r="K29" s="39">
        <f t="shared" si="11"/>
        <v>31170000</v>
      </c>
      <c r="L29" s="34">
        <f t="shared" si="9"/>
        <v>3000000</v>
      </c>
      <c r="M29" s="34">
        <f>(J29-60000000)*15%</f>
        <v>28170000</v>
      </c>
      <c r="N29" s="35"/>
    </row>
    <row r="30" spans="3:14" x14ac:dyDescent="0.35">
      <c r="C30" s="36">
        <v>7</v>
      </c>
      <c r="D30" s="39" t="s">
        <v>91</v>
      </c>
      <c r="E30" s="39" t="s">
        <v>58</v>
      </c>
      <c r="F30" s="39" t="s">
        <v>92</v>
      </c>
      <c r="G30" s="39" t="s">
        <v>93</v>
      </c>
      <c r="H30" s="33">
        <v>24900000</v>
      </c>
      <c r="I30" s="33">
        <v>58500000</v>
      </c>
      <c r="J30" s="39">
        <f t="shared" si="10"/>
        <v>240300000</v>
      </c>
      <c r="K30" s="39">
        <f t="shared" si="11"/>
        <v>30045000</v>
      </c>
      <c r="L30" s="34">
        <f t="shared" ref="L30:L33" si="14">60000000*5%</f>
        <v>3000000</v>
      </c>
      <c r="M30" s="34">
        <f t="shared" ref="M30:M33" si="15">(J30-60000000)*15%</f>
        <v>27045000</v>
      </c>
      <c r="N30" s="35"/>
    </row>
    <row r="31" spans="3:14" x14ac:dyDescent="0.35">
      <c r="C31" s="36">
        <v>8</v>
      </c>
      <c r="D31" s="39" t="s">
        <v>94</v>
      </c>
      <c r="E31" s="39" t="s">
        <v>48</v>
      </c>
      <c r="F31" s="39" t="s">
        <v>95</v>
      </c>
      <c r="G31" s="39" t="s">
        <v>96</v>
      </c>
      <c r="H31" s="33">
        <v>23900000</v>
      </c>
      <c r="I31" s="33">
        <v>54000000</v>
      </c>
      <c r="J31" s="39">
        <f t="shared" si="10"/>
        <v>232800000</v>
      </c>
      <c r="K31" s="39">
        <f t="shared" si="11"/>
        <v>28920000</v>
      </c>
      <c r="L31" s="34">
        <f t="shared" si="14"/>
        <v>3000000</v>
      </c>
      <c r="M31" s="34">
        <f t="shared" si="15"/>
        <v>25920000</v>
      </c>
      <c r="N31" s="35"/>
    </row>
    <row r="32" spans="3:14" x14ac:dyDescent="0.35">
      <c r="C32" s="36">
        <v>9</v>
      </c>
      <c r="D32" s="39" t="s">
        <v>97</v>
      </c>
      <c r="E32" s="39" t="s">
        <v>53</v>
      </c>
      <c r="F32" s="39" t="s">
        <v>98</v>
      </c>
      <c r="G32" s="39" t="s">
        <v>99</v>
      </c>
      <c r="H32" s="33">
        <v>22900000</v>
      </c>
      <c r="I32" s="33">
        <v>63000000</v>
      </c>
      <c r="J32" s="39">
        <f t="shared" si="10"/>
        <v>211800000</v>
      </c>
      <c r="K32" s="39">
        <f t="shared" si="11"/>
        <v>25770000</v>
      </c>
      <c r="L32" s="34">
        <f t="shared" si="14"/>
        <v>3000000</v>
      </c>
      <c r="M32" s="34">
        <f t="shared" si="15"/>
        <v>22770000</v>
      </c>
      <c r="N32" s="35"/>
    </row>
    <row r="33" spans="3:14" x14ac:dyDescent="0.35">
      <c r="C33" s="36">
        <v>10</v>
      </c>
      <c r="D33" s="39" t="s">
        <v>100</v>
      </c>
      <c r="E33" s="39" t="s">
        <v>36</v>
      </c>
      <c r="F33" s="39" t="s">
        <v>101</v>
      </c>
      <c r="G33" s="39" t="s">
        <v>102</v>
      </c>
      <c r="H33" s="33">
        <v>21900000</v>
      </c>
      <c r="I33" s="33">
        <v>67500000</v>
      </c>
      <c r="J33" s="39">
        <f t="shared" si="10"/>
        <v>195300000</v>
      </c>
      <c r="K33" s="39">
        <f t="shared" si="11"/>
        <v>23295000</v>
      </c>
      <c r="L33" s="34">
        <f t="shared" si="14"/>
        <v>3000000</v>
      </c>
      <c r="M33" s="34">
        <f t="shared" si="15"/>
        <v>20295000</v>
      </c>
      <c r="N33" s="35"/>
    </row>
  </sheetData>
  <mergeCells count="33">
    <mergeCell ref="J17:J18"/>
    <mergeCell ref="K17:K18"/>
    <mergeCell ref="C17:C18"/>
    <mergeCell ref="E17:E18"/>
    <mergeCell ref="F17:F18"/>
    <mergeCell ref="G17:G18"/>
    <mergeCell ref="I17:I18"/>
    <mergeCell ref="J13:J14"/>
    <mergeCell ref="K13:K14"/>
    <mergeCell ref="C15:C16"/>
    <mergeCell ref="E15:E16"/>
    <mergeCell ref="F15:F16"/>
    <mergeCell ref="G15:G16"/>
    <mergeCell ref="I15:I16"/>
    <mergeCell ref="J15:J16"/>
    <mergeCell ref="K15:K16"/>
    <mergeCell ref="C13:C14"/>
    <mergeCell ref="E13:E14"/>
    <mergeCell ref="F13:F14"/>
    <mergeCell ref="G13:G14"/>
    <mergeCell ref="I13:I14"/>
    <mergeCell ref="K9:K10"/>
    <mergeCell ref="E11:E12"/>
    <mergeCell ref="F11:F12"/>
    <mergeCell ref="G11:G12"/>
    <mergeCell ref="I11:I12"/>
    <mergeCell ref="J11:J12"/>
    <mergeCell ref="K11:K12"/>
    <mergeCell ref="E9:E10"/>
    <mergeCell ref="F9:F10"/>
    <mergeCell ref="G9:G10"/>
    <mergeCell ref="I9:I10"/>
    <mergeCell ref="J9:J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65b2e-ce9f-47b9-8ae3-b0a618a868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E11B66AFF66FE84D99924DA7B0D9DE11" ma:contentTypeVersion="5" ma:contentTypeDescription="Buat sebuah dokumen baru." ma:contentTypeScope="" ma:versionID="a7381570b726ae333e5d963e713d1c91">
  <xsd:schema xmlns:xsd="http://www.w3.org/2001/XMLSchema" xmlns:xs="http://www.w3.org/2001/XMLSchema" xmlns:p="http://schemas.microsoft.com/office/2006/metadata/properties" xmlns:ns3="6d765b2e-ce9f-47b9-8ae3-b0a618a86819" targetNamespace="http://schemas.microsoft.com/office/2006/metadata/properties" ma:root="true" ma:fieldsID="b6aa6ffaef98965297f8b0bc5d680ee8" ns3:_="">
    <xsd:import namespace="6d765b2e-ce9f-47b9-8ae3-b0a618a868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5b2e-ce9f-47b9-8ae3-b0a618a868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0EAB16-B614-475E-BD3E-7DD9338262F8}">
  <ds:schemaRefs>
    <ds:schemaRef ds:uri="6d765b2e-ce9f-47b9-8ae3-b0a618a86819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05C034-D661-488C-99B3-08BC4B2368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A71326-6823-43BF-83EE-B83FDAFD7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65b2e-ce9f-47b9-8ae3-b0a618a86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SOAL1</vt:lpstr>
      <vt:lpstr>SOAL 2</vt:lpstr>
      <vt:lpstr>SOAL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BILQIS NAILAH FAUZIYYAH</dc:creator>
  <cp:lastModifiedBy>BILQIS NAILAH FAUZIYYAH</cp:lastModifiedBy>
  <dcterms:created xsi:type="dcterms:W3CDTF">2026-02-25T07:49:49Z</dcterms:created>
  <dcterms:modified xsi:type="dcterms:W3CDTF">2026-02-25T09:28:40Z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0x010100E11B66AFF66FE84D99924DA7B0D9DE11</vt:lpwstr>
  </property>
</Properties>
</file>