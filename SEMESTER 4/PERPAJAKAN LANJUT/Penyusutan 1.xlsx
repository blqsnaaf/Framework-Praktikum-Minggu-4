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13_ncr:1_{90FAD69D-1FF9-48DA-979E-E1CEDB1CE1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yusut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ClUgiQlx6UBfunXRpShy3yzpTUQ=="/>
    </ext>
  </extLst>
</workbook>
</file>

<file path=xl/calcChain.xml><?xml version="1.0" encoding="utf-8"?>
<calcChain xmlns="http://schemas.openxmlformats.org/spreadsheetml/2006/main">
  <c r="H43" i="2" l="1"/>
  <c r="H33" i="2"/>
  <c r="H11" i="2"/>
  <c r="H22" i="2"/>
  <c r="K51" i="2"/>
  <c r="J42" i="2"/>
  <c r="J40" i="2"/>
  <c r="J32" i="2"/>
  <c r="J30" i="2"/>
  <c r="J21" i="2"/>
  <c r="J19" i="2"/>
  <c r="J10" i="2"/>
  <c r="J8" i="2"/>
  <c r="I33" i="2" l="1"/>
  <c r="I22" i="2"/>
  <c r="H26" i="2"/>
  <c r="H12" i="2"/>
  <c r="H15" i="2"/>
  <c r="J33" i="2"/>
  <c r="H34" i="2" s="1"/>
  <c r="H23" i="2"/>
  <c r="J22" i="2"/>
  <c r="J23" i="2" s="1"/>
  <c r="J24" i="2" s="1"/>
  <c r="J25" i="2" s="1"/>
  <c r="J26" i="2" s="1"/>
  <c r="H13" i="2"/>
  <c r="J11" i="2" l="1"/>
  <c r="J12" i="2" s="1"/>
  <c r="J13" i="2" s="1"/>
  <c r="I11" i="2"/>
  <c r="I12" i="2" s="1"/>
  <c r="I13" i="2" s="1"/>
  <c r="I14" i="2" s="1"/>
  <c r="I15" i="2" s="1"/>
  <c r="J34" i="2"/>
  <c r="I34" i="2"/>
  <c r="H24" i="2"/>
  <c r="H25" i="2" s="1"/>
  <c r="I23" i="2"/>
  <c r="I24" i="2" s="1"/>
  <c r="I25" i="2" s="1"/>
  <c r="I26" i="2" s="1"/>
  <c r="I43" i="2"/>
  <c r="J43" i="2"/>
  <c r="H44" i="2" s="1"/>
  <c r="H14" i="2"/>
  <c r="H35" i="2" l="1"/>
  <c r="J14" i="2"/>
  <c r="J15" i="2" s="1"/>
  <c r="I44" i="2"/>
  <c r="I35" i="2" l="1"/>
  <c r="J35" i="2"/>
  <c r="J44" i="2"/>
  <c r="H36" i="2" l="1"/>
  <c r="H45" i="2"/>
  <c r="I45" i="2" l="1"/>
  <c r="J45" i="2"/>
  <c r="I36" i="2"/>
  <c r="J36" i="2"/>
  <c r="H46" i="2"/>
  <c r="I46" i="2" l="1"/>
  <c r="J46" i="2"/>
  <c r="H47" i="2" s="1"/>
  <c r="H37" i="2"/>
  <c r="J47" i="2"/>
  <c r="I47" i="2"/>
  <c r="I37" i="2" l="1"/>
  <c r="J37" i="2"/>
  <c r="H48" i="2"/>
  <c r="J48" i="2" l="1"/>
  <c r="I48" i="2"/>
  <c r="H49" i="2" l="1"/>
  <c r="J49" i="2" l="1"/>
  <c r="H50" i="2" s="1"/>
  <c r="J50" i="2" s="1"/>
  <c r="I49" i="2"/>
  <c r="I50" i="2" l="1"/>
  <c r="H51" i="2" l="1"/>
  <c r="I51" i="2" s="1"/>
  <c r="J51" i="2" l="1"/>
</calcChain>
</file>

<file path=xl/sharedStrings.xml><?xml version="1.0" encoding="utf-8"?>
<sst xmlns="http://schemas.openxmlformats.org/spreadsheetml/2006/main" count="69" uniqueCount="32">
  <si>
    <t>PENYUSUTAN :</t>
  </si>
  <si>
    <t>JAWABAN UNTUK PENYUSUTAN</t>
  </si>
  <si>
    <t>Harga Perolehan aktiva selama 3 tahun terakhir  (Penyusutan untuk Biaya Pemasaran)</t>
  </si>
  <si>
    <t>Peralatan 1</t>
  </si>
  <si>
    <t>garis lurus</t>
  </si>
  <si>
    <t>Keterangan</t>
  </si>
  <si>
    <t>Kelompok</t>
  </si>
  <si>
    <t>Tanggal Perolehan</t>
  </si>
  <si>
    <t>Harga Perolehan</t>
  </si>
  <si>
    <t>Metode Penyusutan</t>
  </si>
  <si>
    <t>Kelompok 1</t>
  </si>
  <si>
    <t>Garis Lurus</t>
  </si>
  <si>
    <t>TAHUN</t>
  </si>
  <si>
    <t>PENYUSUTAN</t>
  </si>
  <si>
    <t>AKUMULASI</t>
  </si>
  <si>
    <t>NILAI SISA</t>
  </si>
  <si>
    <t>Peralatan 2</t>
  </si>
  <si>
    <t>Peralatan 3</t>
  </si>
  <si>
    <t>25/02/2015</t>
  </si>
  <si>
    <t>Saldo Menurun Ganda</t>
  </si>
  <si>
    <t>Peralatan 4</t>
  </si>
  <si>
    <t>Kelompok 2</t>
  </si>
  <si>
    <t>18/05/2015</t>
  </si>
  <si>
    <t>DATA I:</t>
  </si>
  <si>
    <t>Penyusutan per tahun</t>
  </si>
  <si>
    <t>HP</t>
  </si>
  <si>
    <t>2015(Feb - Des)</t>
  </si>
  <si>
    <t>2015(Mei - Des)</t>
  </si>
  <si>
    <t>2015(Mei-Des)</t>
  </si>
  <si>
    <t>2023(Jan-Apr)</t>
  </si>
  <si>
    <t>2019(Jan)</t>
  </si>
  <si>
    <t>2019(Jan-Apr)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</si>
</sst>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Rp&quot;* #,##0.00_-;\-&quot;Rp&quot;* #,##0.00_-;_-&quot;Rp&quot;* &quot;-&quot;??_-;_-@_-"/>
    <numFmt numFmtId="164" formatCode="_(* #,##0_);_(* \(#,##0\);_(* &quot;-&quot;??_);_(@_)"/>
    <numFmt numFmtId="166" formatCode="_-&quot;Rp&quot;* #,##0_-;\-&quot;Rp&quot;* #,##0_-;_-&quot;Rp&quot;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2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1" fillId="0" borderId="0" xfId="0" applyNumberFormat="1" applyFont="1"/>
    <xf numFmtId="0" fontId="1" fillId="0" borderId="5" xfId="0" applyFont="1" applyBorder="1"/>
    <xf numFmtId="164" fontId="1" fillId="0" borderId="5" xfId="0" applyNumberFormat="1" applyFont="1" applyBorder="1"/>
    <xf numFmtId="0" fontId="4" fillId="0" borderId="0" xfId="0" applyFont="1"/>
    <xf numFmtId="0" fontId="1" fillId="3" borderId="5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14" fontId="1" fillId="0" borderId="5" xfId="0" quotePrefix="1" applyNumberFormat="1" applyFont="1" applyBorder="1" applyAlignment="1">
      <alignment horizontal="center" vertical="center" wrapText="1"/>
    </xf>
    <xf numFmtId="14" fontId="1" fillId="0" borderId="5" xfId="0" applyNumberFormat="1" applyFont="1" applyBorder="1"/>
    <xf numFmtId="14" fontId="1" fillId="0" borderId="0" xfId="0" applyNumberFormat="1" applyFont="1" applyAlignment="1">
      <alignment horizontal="left"/>
    </xf>
    <xf numFmtId="0" fontId="1" fillId="0" borderId="5" xfId="0" applyFont="1" applyBorder="1" applyAlignment="1">
      <alignment wrapText="1"/>
    </xf>
    <xf numFmtId="164" fontId="2" fillId="4" borderId="5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41" fontId="5" fillId="0" borderId="6" xfId="1" applyFont="1" applyBorder="1"/>
    <xf numFmtId="0" fontId="5" fillId="0" borderId="6" xfId="1" applyNumberFormat="1" applyFont="1" applyBorder="1"/>
    <xf numFmtId="166" fontId="5" fillId="0" borderId="6" xfId="2" applyNumberFormat="1" applyFont="1" applyBorder="1"/>
    <xf numFmtId="41" fontId="6" fillId="0" borderId="6" xfId="0" applyNumberFormat="1" applyFont="1" applyBorder="1"/>
    <xf numFmtId="0" fontId="2" fillId="4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14" fontId="1" fillId="0" borderId="10" xfId="0" applyNumberFormat="1" applyFont="1" applyBorder="1" applyAlignment="1">
      <alignment horizontal="center"/>
    </xf>
    <xf numFmtId="0" fontId="5" fillId="0" borderId="11" xfId="0" applyFont="1" applyBorder="1"/>
    <xf numFmtId="0" fontId="1" fillId="0" borderId="12" xfId="0" applyFont="1" applyBorder="1"/>
    <xf numFmtId="164" fontId="1" fillId="0" borderId="13" xfId="0" applyNumberFormat="1" applyFont="1" applyBorder="1"/>
    <xf numFmtId="166" fontId="2" fillId="4" borderId="7" xfId="2" applyNumberFormat="1" applyFont="1" applyFill="1" applyBorder="1" applyAlignment="1">
      <alignment horizontal="center"/>
    </xf>
    <xf numFmtId="166" fontId="1" fillId="0" borderId="12" xfId="2" applyNumberFormat="1" applyFont="1" applyBorder="1"/>
    <xf numFmtId="166" fontId="1" fillId="0" borderId="13" xfId="2" applyNumberFormat="1" applyFont="1" applyBorder="1"/>
  </cellXfs>
  <cellStyles count="3">
    <cellStyle name="Comma [0]" xfId="1" builtinId="6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9"/>
  <sheetViews>
    <sheetView showGridLines="0" tabSelected="1" topLeftCell="A20" zoomScale="66" workbookViewId="0">
      <selection activeCell="H29" sqref="H29"/>
    </sheetView>
  </sheetViews>
  <sheetFormatPr defaultColWidth="14.453125" defaultRowHeight="15" customHeight="1" x14ac:dyDescent="0.35"/>
  <cols>
    <col min="1" max="1" width="19.54296875" customWidth="1"/>
    <col min="2" max="2" width="14.54296875" customWidth="1"/>
    <col min="3" max="3" width="15.26953125" customWidth="1"/>
    <col min="4" max="4" width="22.7265625" customWidth="1"/>
    <col min="5" max="5" width="24" customWidth="1"/>
    <col min="6" max="6" width="8.7265625" customWidth="1"/>
    <col min="7" max="7" width="15.453125" customWidth="1"/>
    <col min="8" max="8" width="24.08984375" customWidth="1"/>
    <col min="9" max="9" width="20.90625" customWidth="1"/>
    <col min="10" max="10" width="21.90625" customWidth="1"/>
    <col min="11" max="26" width="8.7265625" customWidth="1"/>
  </cols>
  <sheetData>
    <row r="1" spans="1:11" ht="14.5" x14ac:dyDescent="0.35">
      <c r="A1" s="2" t="s">
        <v>23</v>
      </c>
    </row>
    <row r="3" spans="1:11" ht="14.5" x14ac:dyDescent="0.35">
      <c r="A3" s="1" t="s">
        <v>0</v>
      </c>
    </row>
    <row r="5" spans="1:11" ht="14.5" x14ac:dyDescent="0.35">
      <c r="G5" s="16" t="s">
        <v>1</v>
      </c>
      <c r="H5" s="17"/>
      <c r="I5" s="17"/>
      <c r="J5" s="18"/>
    </row>
    <row r="6" spans="1:11" ht="14.5" x14ac:dyDescent="0.35">
      <c r="A6" s="1" t="s">
        <v>2</v>
      </c>
    </row>
    <row r="7" spans="1:11" ht="14.5" x14ac:dyDescent="0.35">
      <c r="G7" s="24" t="s">
        <v>3</v>
      </c>
      <c r="H7" s="25" t="s">
        <v>4</v>
      </c>
      <c r="I7" s="4" t="s">
        <v>10</v>
      </c>
      <c r="J7" s="26">
        <v>42044</v>
      </c>
    </row>
    <row r="8" spans="1:11" ht="15.5" x14ac:dyDescent="0.3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  <c r="G8" s="27" t="s">
        <v>24</v>
      </c>
      <c r="H8" s="28"/>
      <c r="I8" s="28"/>
      <c r="J8" s="29">
        <f>D9/4</f>
        <v>52465250</v>
      </c>
    </row>
    <row r="9" spans="1:11" ht="14.5" x14ac:dyDescent="0.35">
      <c r="A9" s="4" t="s">
        <v>3</v>
      </c>
      <c r="B9" s="4" t="s">
        <v>10</v>
      </c>
      <c r="C9" s="8">
        <v>42044</v>
      </c>
      <c r="D9" s="5">
        <v>209861000</v>
      </c>
      <c r="E9" s="4" t="s">
        <v>11</v>
      </c>
      <c r="G9" s="23" t="s">
        <v>12</v>
      </c>
      <c r="H9" s="23" t="s">
        <v>13</v>
      </c>
      <c r="I9" s="23" t="s">
        <v>14</v>
      </c>
      <c r="J9" s="23" t="s">
        <v>15</v>
      </c>
    </row>
    <row r="10" spans="1:11" ht="15.5" x14ac:dyDescent="0.35">
      <c r="A10" s="4" t="s">
        <v>16</v>
      </c>
      <c r="B10" s="4" t="s">
        <v>10</v>
      </c>
      <c r="C10" s="8">
        <v>41767</v>
      </c>
      <c r="D10" s="5">
        <v>237081000</v>
      </c>
      <c r="E10" s="4" t="s">
        <v>11</v>
      </c>
      <c r="G10" s="19" t="s">
        <v>25</v>
      </c>
      <c r="H10" s="21"/>
      <c r="I10" s="21"/>
      <c r="J10" s="21">
        <f>D9</f>
        <v>209861000</v>
      </c>
    </row>
    <row r="11" spans="1:11" ht="15.5" x14ac:dyDescent="0.35">
      <c r="A11" s="4" t="s">
        <v>17</v>
      </c>
      <c r="B11" s="4" t="s">
        <v>10</v>
      </c>
      <c r="C11" s="8" t="s">
        <v>18</v>
      </c>
      <c r="D11" s="5">
        <v>352486000</v>
      </c>
      <c r="E11" s="4" t="s">
        <v>19</v>
      </c>
      <c r="G11" s="20" t="s">
        <v>26</v>
      </c>
      <c r="H11" s="21">
        <f>11/12*J8</f>
        <v>48093145.833333328</v>
      </c>
      <c r="I11" s="21">
        <f>H11</f>
        <v>48093145.833333328</v>
      </c>
      <c r="J11" s="21">
        <f>J10-H11</f>
        <v>161767854.16666669</v>
      </c>
    </row>
    <row r="12" spans="1:11" ht="15.5" x14ac:dyDescent="0.35">
      <c r="A12" s="10" t="s">
        <v>20</v>
      </c>
      <c r="B12" s="10" t="s">
        <v>21</v>
      </c>
      <c r="C12" s="11" t="s">
        <v>22</v>
      </c>
      <c r="D12" s="5">
        <v>792780000</v>
      </c>
      <c r="E12" s="10" t="s">
        <v>19</v>
      </c>
      <c r="G12" s="20">
        <v>2016</v>
      </c>
      <c r="H12" s="21">
        <f>J8</f>
        <v>52465250</v>
      </c>
      <c r="I12" s="21">
        <f>I11+H12</f>
        <v>100558395.83333333</v>
      </c>
      <c r="J12" s="21">
        <f>J11-H12</f>
        <v>109302604.16666669</v>
      </c>
    </row>
    <row r="13" spans="1:11" ht="15.5" x14ac:dyDescent="0.35">
      <c r="G13" s="20">
        <v>2017</v>
      </c>
      <c r="H13" s="21">
        <f>H12</f>
        <v>52465250</v>
      </c>
      <c r="I13" s="21">
        <f>I12+H13</f>
        <v>153023645.83333331</v>
      </c>
      <c r="J13" s="21">
        <f>J12-H13</f>
        <v>56837354.166666687</v>
      </c>
      <c r="K13" s="6">
        <v>25</v>
      </c>
    </row>
    <row r="14" spans="1:11" ht="15.5" x14ac:dyDescent="0.35">
      <c r="G14" s="20">
        <v>2018</v>
      </c>
      <c r="H14" s="21">
        <f>H13</f>
        <v>52465250</v>
      </c>
      <c r="I14" s="21">
        <f>I13+H14</f>
        <v>205488895.83333331</v>
      </c>
      <c r="J14" s="21">
        <f>J13-H14</f>
        <v>4372104.1666666865</v>
      </c>
    </row>
    <row r="15" spans="1:11" ht="15.5" x14ac:dyDescent="0.35">
      <c r="G15" s="20" t="s">
        <v>30</v>
      </c>
      <c r="H15" s="21">
        <f>1/12*J8</f>
        <v>4372104.166666666</v>
      </c>
      <c r="I15" s="21">
        <f>I14+H15</f>
        <v>209860999.99999997</v>
      </c>
      <c r="J15" s="21">
        <f>J14-H15</f>
        <v>2.0489096641540527E-8</v>
      </c>
    </row>
    <row r="17" spans="3:11" ht="14.5" x14ac:dyDescent="0.35">
      <c r="E17" s="3">
        <v>0</v>
      </c>
    </row>
    <row r="18" spans="3:11" ht="14.5" x14ac:dyDescent="0.35">
      <c r="D18" s="3"/>
      <c r="G18" s="24" t="s">
        <v>16</v>
      </c>
      <c r="H18" s="25" t="s">
        <v>4</v>
      </c>
      <c r="I18" s="4" t="s">
        <v>10</v>
      </c>
      <c r="J18" s="26">
        <v>41767</v>
      </c>
    </row>
    <row r="19" spans="3:11" ht="15.5" x14ac:dyDescent="0.35">
      <c r="D19" s="3"/>
      <c r="G19" s="27" t="s">
        <v>24</v>
      </c>
      <c r="H19" s="31"/>
      <c r="I19" s="31"/>
      <c r="J19" s="32">
        <f>D10/4</f>
        <v>59270250</v>
      </c>
    </row>
    <row r="20" spans="3:11" ht="14.5" x14ac:dyDescent="0.35">
      <c r="C20" s="13"/>
      <c r="D20" s="3"/>
      <c r="G20" s="23" t="s">
        <v>12</v>
      </c>
      <c r="H20" s="30" t="s">
        <v>13</v>
      </c>
      <c r="I20" s="30" t="s">
        <v>14</v>
      </c>
      <c r="J20" s="30" t="s">
        <v>15</v>
      </c>
    </row>
    <row r="21" spans="3:11" ht="15.75" customHeight="1" x14ac:dyDescent="0.35">
      <c r="G21" s="19" t="s">
        <v>25</v>
      </c>
      <c r="H21" s="21"/>
      <c r="I21" s="21"/>
      <c r="J21" s="21">
        <f>D10</f>
        <v>237081000</v>
      </c>
    </row>
    <row r="22" spans="3:11" ht="15.75" customHeight="1" x14ac:dyDescent="0.35">
      <c r="G22" s="20" t="s">
        <v>27</v>
      </c>
      <c r="H22" s="21">
        <f>8/12*J19</f>
        <v>39513500</v>
      </c>
      <c r="I22" s="21">
        <f>H22</f>
        <v>39513500</v>
      </c>
      <c r="J22" s="21">
        <f>J21-H22</f>
        <v>197567500</v>
      </c>
    </row>
    <row r="23" spans="3:11" ht="15.75" customHeight="1" x14ac:dyDescent="0.35">
      <c r="G23" s="20">
        <v>2016</v>
      </c>
      <c r="H23" s="21">
        <f>J19</f>
        <v>59270250</v>
      </c>
      <c r="I23" s="21">
        <f>I22+H23</f>
        <v>98783750</v>
      </c>
      <c r="J23" s="21">
        <f>J22-H23</f>
        <v>138297250</v>
      </c>
    </row>
    <row r="24" spans="3:11" ht="15.75" customHeight="1" x14ac:dyDescent="0.35">
      <c r="G24" s="20">
        <v>2017</v>
      </c>
      <c r="H24" s="21">
        <f>H23</f>
        <v>59270250</v>
      </c>
      <c r="I24" s="21">
        <f>I23+H24</f>
        <v>158054000</v>
      </c>
      <c r="J24" s="21">
        <f>J23-H24</f>
        <v>79027000</v>
      </c>
      <c r="K24" s="6">
        <v>25</v>
      </c>
    </row>
    <row r="25" spans="3:11" ht="15.75" customHeight="1" x14ac:dyDescent="0.35">
      <c r="G25" s="20">
        <v>2018</v>
      </c>
      <c r="H25" s="21">
        <f>H24</f>
        <v>59270250</v>
      </c>
      <c r="I25" s="21">
        <f>I24+H25</f>
        <v>217324250</v>
      </c>
      <c r="J25" s="21">
        <f>J24-H25</f>
        <v>19756750</v>
      </c>
    </row>
    <row r="26" spans="3:11" ht="15.75" customHeight="1" x14ac:dyDescent="0.35">
      <c r="E26" s="3">
        <v>0</v>
      </c>
      <c r="G26" s="20" t="s">
        <v>31</v>
      </c>
      <c r="H26" s="21">
        <f>4/12*J19</f>
        <v>19756750</v>
      </c>
      <c r="I26" s="21">
        <f>I25+H26</f>
        <v>237081000</v>
      </c>
      <c r="J26" s="21">
        <f>J25-H26</f>
        <v>0</v>
      </c>
    </row>
    <row r="27" spans="3:11" ht="15.75" customHeight="1" x14ac:dyDescent="0.35"/>
    <row r="28" spans="3:11" ht="15.75" customHeight="1" x14ac:dyDescent="0.35"/>
    <row r="29" spans="3:11" ht="15.75" customHeight="1" x14ac:dyDescent="0.35">
      <c r="G29" s="4" t="s">
        <v>17</v>
      </c>
      <c r="H29" s="4" t="s">
        <v>19</v>
      </c>
      <c r="I29" s="4" t="s">
        <v>10</v>
      </c>
      <c r="J29" s="8" t="s">
        <v>18</v>
      </c>
    </row>
    <row r="30" spans="3:11" ht="15.75" customHeight="1" x14ac:dyDescent="0.35">
      <c r="G30" s="12" t="s">
        <v>24</v>
      </c>
      <c r="H30" s="4"/>
      <c r="I30" s="4"/>
      <c r="J30" s="5">
        <f>50%*D11</f>
        <v>176243000</v>
      </c>
    </row>
    <row r="31" spans="3:11" ht="15.75" customHeight="1" x14ac:dyDescent="0.35">
      <c r="G31" s="9" t="s">
        <v>12</v>
      </c>
      <c r="H31" s="9" t="s">
        <v>13</v>
      </c>
      <c r="I31" s="9" t="s">
        <v>14</v>
      </c>
      <c r="J31" s="9" t="s">
        <v>15</v>
      </c>
    </row>
    <row r="32" spans="3:11" ht="15.75" customHeight="1" x14ac:dyDescent="0.35">
      <c r="G32" s="19" t="s">
        <v>25</v>
      </c>
      <c r="H32" s="21"/>
      <c r="I32" s="21"/>
      <c r="J32" s="21">
        <f>D11</f>
        <v>352486000</v>
      </c>
    </row>
    <row r="33" spans="7:11" ht="15.75" customHeight="1" x14ac:dyDescent="0.35">
      <c r="G33" s="20" t="s">
        <v>26</v>
      </c>
      <c r="H33" s="21">
        <f>11/12*J30*50%</f>
        <v>80778041.666666657</v>
      </c>
      <c r="I33" s="21">
        <f>H33</f>
        <v>80778041.666666657</v>
      </c>
      <c r="J33" s="21">
        <f>J32-H33</f>
        <v>271707958.33333337</v>
      </c>
    </row>
    <row r="34" spans="7:11" ht="15.75" customHeight="1" x14ac:dyDescent="0.35">
      <c r="G34" s="20">
        <v>2016</v>
      </c>
      <c r="H34" s="21">
        <f>50%*J33</f>
        <v>135853979.16666669</v>
      </c>
      <c r="I34" s="21">
        <f>I33+H34</f>
        <v>216632020.83333334</v>
      </c>
      <c r="J34" s="21">
        <f>J33-H34</f>
        <v>135853979.16666669</v>
      </c>
    </row>
    <row r="35" spans="7:11" ht="15.75" customHeight="1" x14ac:dyDescent="0.35">
      <c r="G35" s="20">
        <v>2017</v>
      </c>
      <c r="H35" s="21">
        <f>50%*J34</f>
        <v>67926989.583333343</v>
      </c>
      <c r="I35" s="21">
        <f>I34+H35</f>
        <v>284559010.41666669</v>
      </c>
      <c r="J35" s="21">
        <f>J34-H35</f>
        <v>67926989.583333343</v>
      </c>
      <c r="K35" s="6">
        <v>25</v>
      </c>
    </row>
    <row r="36" spans="7:11" ht="15.75" customHeight="1" x14ac:dyDescent="0.35">
      <c r="G36" s="20">
        <v>2018</v>
      </c>
      <c r="H36" s="21">
        <f>50%*J35</f>
        <v>33963494.791666672</v>
      </c>
      <c r="I36" s="21">
        <f>I35+H36</f>
        <v>318522505.20833337</v>
      </c>
      <c r="J36" s="21">
        <f>J35-H36</f>
        <v>33963494.791666672</v>
      </c>
    </row>
    <row r="37" spans="7:11" ht="15.75" customHeight="1" x14ac:dyDescent="0.35">
      <c r="G37" s="20" t="s">
        <v>30</v>
      </c>
      <c r="H37" s="21">
        <f>J36</f>
        <v>33963494.791666672</v>
      </c>
      <c r="I37" s="21">
        <f>I36+H37</f>
        <v>352486000.00000006</v>
      </c>
      <c r="J37" s="21">
        <f>J36-H37</f>
        <v>0</v>
      </c>
    </row>
    <row r="38" spans="7:11" ht="15.75" customHeight="1" x14ac:dyDescent="0.35"/>
    <row r="39" spans="7:11" ht="15.75" customHeight="1" x14ac:dyDescent="0.35">
      <c r="G39" s="14" t="s">
        <v>20</v>
      </c>
      <c r="H39" s="4" t="s">
        <v>19</v>
      </c>
      <c r="I39" s="4" t="s">
        <v>21</v>
      </c>
      <c r="J39" s="11" t="s">
        <v>22</v>
      </c>
    </row>
    <row r="40" spans="7:11" ht="15.75" customHeight="1" x14ac:dyDescent="0.35">
      <c r="G40" s="12" t="s">
        <v>24</v>
      </c>
      <c r="H40" s="4"/>
      <c r="I40" s="4"/>
      <c r="J40" s="5">
        <f>25%*D12</f>
        <v>198195000</v>
      </c>
    </row>
    <row r="41" spans="7:11" ht="15.75" customHeight="1" x14ac:dyDescent="0.35">
      <c r="G41" s="9" t="s">
        <v>12</v>
      </c>
      <c r="H41" s="15" t="s">
        <v>13</v>
      </c>
      <c r="I41" s="15" t="s">
        <v>14</v>
      </c>
      <c r="J41" s="15" t="s">
        <v>15</v>
      </c>
    </row>
    <row r="42" spans="7:11" ht="15.75" customHeight="1" x14ac:dyDescent="0.35">
      <c r="G42" s="20" t="s">
        <v>25</v>
      </c>
      <c r="H42" s="19"/>
      <c r="I42" s="19"/>
      <c r="J42" s="19">
        <f>D12</f>
        <v>792780000</v>
      </c>
    </row>
    <row r="43" spans="7:11" ht="15.75" customHeight="1" x14ac:dyDescent="0.35">
      <c r="G43" s="20" t="s">
        <v>28</v>
      </c>
      <c r="H43" s="19">
        <f>8/12*J40*25%</f>
        <v>33032500</v>
      </c>
      <c r="I43" s="19">
        <f>H43</f>
        <v>33032500</v>
      </c>
      <c r="J43" s="19">
        <f t="shared" ref="J43:J51" si="0">J42-H43</f>
        <v>759747500</v>
      </c>
    </row>
    <row r="44" spans="7:11" ht="15.75" customHeight="1" x14ac:dyDescent="0.35">
      <c r="G44" s="20">
        <v>2016</v>
      </c>
      <c r="H44" s="19">
        <f>J43*25%</f>
        <v>189936875</v>
      </c>
      <c r="I44" s="19">
        <f>I43+H44</f>
        <v>222969375</v>
      </c>
      <c r="J44" s="19">
        <f t="shared" si="0"/>
        <v>569810625</v>
      </c>
    </row>
    <row r="45" spans="7:11" ht="15.75" customHeight="1" x14ac:dyDescent="0.35">
      <c r="G45" s="20">
        <v>2017</v>
      </c>
      <c r="H45" s="19">
        <f>J44*25%</f>
        <v>142452656.25</v>
      </c>
      <c r="I45" s="19">
        <f t="shared" ref="I45:I50" si="1">I44+H45</f>
        <v>365422031.25</v>
      </c>
      <c r="J45" s="19">
        <f t="shared" si="0"/>
        <v>427357968.75</v>
      </c>
    </row>
    <row r="46" spans="7:11" ht="15.75" customHeight="1" x14ac:dyDescent="0.35">
      <c r="G46" s="20">
        <v>2018</v>
      </c>
      <c r="H46" s="19">
        <f t="shared" ref="H46:H49" si="2">J45*25%</f>
        <v>106839492.1875</v>
      </c>
      <c r="I46" s="19">
        <f t="shared" si="1"/>
        <v>472261523.4375</v>
      </c>
      <c r="J46" s="19">
        <f t="shared" si="0"/>
        <v>320518476.5625</v>
      </c>
    </row>
    <row r="47" spans="7:11" ht="15.75" customHeight="1" x14ac:dyDescent="0.35">
      <c r="G47" s="20">
        <v>2019</v>
      </c>
      <c r="H47" s="19">
        <f t="shared" si="2"/>
        <v>80129619.140625</v>
      </c>
      <c r="I47" s="19">
        <f t="shared" si="1"/>
        <v>552391142.578125</v>
      </c>
      <c r="J47" s="19">
        <f t="shared" si="0"/>
        <v>240388857.421875</v>
      </c>
    </row>
    <row r="48" spans="7:11" ht="15.75" customHeight="1" x14ac:dyDescent="0.35">
      <c r="G48" s="20">
        <v>2020</v>
      </c>
      <c r="H48" s="19">
        <f t="shared" si="2"/>
        <v>60097214.35546875</v>
      </c>
      <c r="I48" s="19">
        <f t="shared" si="1"/>
        <v>612488356.93359375</v>
      </c>
      <c r="J48" s="19">
        <f t="shared" si="0"/>
        <v>180291643.06640625</v>
      </c>
    </row>
    <row r="49" spans="7:11" ht="15.75" customHeight="1" x14ac:dyDescent="0.35">
      <c r="G49" s="20">
        <v>2021</v>
      </c>
      <c r="H49" s="19">
        <f t="shared" si="2"/>
        <v>45072910.766601563</v>
      </c>
      <c r="I49" s="19">
        <f t="shared" si="1"/>
        <v>657561267.70019531</v>
      </c>
      <c r="J49" s="19">
        <f t="shared" si="0"/>
        <v>135218732.29980469</v>
      </c>
      <c r="K49" s="6">
        <v>25</v>
      </c>
    </row>
    <row r="50" spans="7:11" ht="15.75" customHeight="1" x14ac:dyDescent="0.35">
      <c r="G50" s="20">
        <v>2022</v>
      </c>
      <c r="H50" s="19">
        <f>J49*25%</f>
        <v>33804683.074951172</v>
      </c>
      <c r="I50" s="19">
        <f t="shared" si="1"/>
        <v>691365950.77514648</v>
      </c>
      <c r="J50" s="19">
        <f>J49-H50</f>
        <v>101414049.22485352</v>
      </c>
    </row>
    <row r="51" spans="7:11" ht="15.75" customHeight="1" x14ac:dyDescent="0.35">
      <c r="G51" s="20" t="s">
        <v>29</v>
      </c>
      <c r="H51" s="22">
        <f>J50</f>
        <v>101414049.22485352</v>
      </c>
      <c r="I51" s="19">
        <f>I50+H51</f>
        <v>792780000</v>
      </c>
      <c r="J51" s="19">
        <f t="shared" si="0"/>
        <v>0</v>
      </c>
      <c r="K51" s="6">
        <f>SUM(K12:K50)</f>
        <v>100</v>
      </c>
    </row>
    <row r="52" spans="7:11" ht="15.75" customHeight="1" x14ac:dyDescent="0.35"/>
    <row r="53" spans="7:11" ht="15.75" customHeight="1" x14ac:dyDescent="0.35"/>
    <row r="54" spans="7:11" ht="15.75" customHeight="1" x14ac:dyDescent="0.35"/>
    <row r="55" spans="7:11" ht="15.75" customHeight="1" x14ac:dyDescent="0.35"/>
    <row r="56" spans="7:11" ht="15.75" customHeight="1" x14ac:dyDescent="0.35"/>
    <row r="57" spans="7:11" ht="15.75" customHeight="1" x14ac:dyDescent="0.35"/>
    <row r="58" spans="7:11" ht="15.75" customHeight="1" x14ac:dyDescent="0.35"/>
    <row r="59" spans="7:11" ht="15.75" customHeight="1" x14ac:dyDescent="0.35"/>
    <row r="60" spans="7:11" ht="15.75" customHeight="1" x14ac:dyDescent="0.35"/>
    <row r="61" spans="7:11" ht="15.75" customHeight="1" x14ac:dyDescent="0.35"/>
    <row r="62" spans="7:11" ht="15.75" customHeight="1" x14ac:dyDescent="0.35"/>
    <row r="63" spans="7:11" ht="15.75" customHeight="1" x14ac:dyDescent="0.35"/>
    <row r="64" spans="7:1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G5:J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penyusutan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NELSI WISNA</dc:creator>
  <cp:lastModifiedBy>BILQIS NAILAH FAUZIYYAH</cp:lastModifiedBy>
  <dcterms:created xsi:type="dcterms:W3CDTF">2022-03-20T14:41:52Z</dcterms:created>
  <dcterms:modified xsi:type="dcterms:W3CDTF">2026-03-25T08:53:43Z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0x010100EFACB538064B554F837C895BCAD1A2E1</vt:lpwstr>
  </property>
</Properties>
</file>