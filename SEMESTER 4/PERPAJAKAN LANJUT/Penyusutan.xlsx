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QIS NA'ILAH F\Documents\SUBJECT\SEMESTER 4\PERPAJAKAN LANJUT\"/>
    </mc:Choice>
  </mc:AlternateContent>
  <xr:revisionPtr revIDLastSave="0" documentId="13_ncr:1_{74604911-04C7-4A22-97D4-BE2F2506ED33}" xr6:coauthVersionLast="47" xr6:coauthVersionMax="47" xr10:uidLastSave="{00000000-0000-0000-0000-000000000000}"/>
  <bookViews>
    <workbookView xWindow="-110" yWindow="-110" windowWidth="19420" windowHeight="11020" activeTab="1" xr2:uid="{0581ADF6-AB3C-4E26-BF56-B9A433CD2B44}"/>
  </bookViews>
  <sheets>
    <sheet name="PETUNJUK" sheetId="2" r:id="rId1"/>
    <sheet name="20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1" l="1"/>
  <c r="J32" i="1"/>
  <c r="D6" i="2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L41" i="1"/>
  <c r="L31" i="1"/>
  <c r="J25" i="1"/>
  <c r="J21" i="1"/>
  <c r="L18" i="1"/>
  <c r="J14" i="1"/>
  <c r="J10" i="1"/>
  <c r="L7" i="1"/>
  <c r="L39" i="1"/>
  <c r="L29" i="1"/>
  <c r="L20" i="1"/>
  <c r="L9" i="1"/>
  <c r="K32" i="1" l="1"/>
  <c r="K42" i="1"/>
  <c r="J22" i="1"/>
  <c r="J23" i="1" s="1"/>
  <c r="J24" i="1" s="1"/>
  <c r="J11" i="1"/>
  <c r="J12" i="1" s="1"/>
  <c r="J13" i="1" s="1"/>
  <c r="L32" i="1"/>
  <c r="J33" i="1" s="1"/>
  <c r="L42" i="1"/>
  <c r="L21" i="1" l="1"/>
  <c r="L22" i="1" s="1"/>
  <c r="L23" i="1" s="1"/>
  <c r="L24" i="1" s="1"/>
  <c r="L25" i="1" s="1"/>
  <c r="K21" i="1"/>
  <c r="K22" i="1" s="1"/>
  <c r="K23" i="1" s="1"/>
  <c r="K24" i="1" s="1"/>
  <c r="K25" i="1" s="1"/>
  <c r="L10" i="1"/>
  <c r="L11" i="1" s="1"/>
  <c r="L12" i="1" s="1"/>
  <c r="L13" i="1" s="1"/>
  <c r="L14" i="1" s="1"/>
  <c r="K10" i="1"/>
  <c r="K11" i="1" s="1"/>
  <c r="K12" i="1" s="1"/>
  <c r="K13" i="1" s="1"/>
  <c r="K14" i="1" s="1"/>
  <c r="J43" i="1"/>
  <c r="K33" i="1" l="1"/>
  <c r="L33" i="1"/>
  <c r="K43" i="1"/>
  <c r="L43" i="1"/>
  <c r="J34" i="1" l="1"/>
  <c r="J44" i="1"/>
  <c r="K34" i="1" l="1"/>
  <c r="L34" i="1"/>
  <c r="J35" i="1" s="1"/>
  <c r="K44" i="1"/>
  <c r="L44" i="1"/>
  <c r="J45" i="1" l="1"/>
  <c r="K35" i="1"/>
  <c r="L35" i="1"/>
  <c r="J36" i="1" l="1"/>
  <c r="K45" i="1"/>
  <c r="L45" i="1"/>
  <c r="J46" i="1" l="1"/>
  <c r="K36" i="1"/>
  <c r="L36" i="1"/>
  <c r="K46" i="1" l="1"/>
  <c r="L46" i="1"/>
  <c r="J47" i="1" l="1"/>
  <c r="K47" i="1" l="1"/>
  <c r="L47" i="1"/>
  <c r="J48" i="1" l="1"/>
  <c r="K48" i="1" l="1"/>
  <c r="L48" i="1"/>
  <c r="J49" i="1" l="1"/>
  <c r="K49" i="1" l="1"/>
  <c r="L49" i="1"/>
  <c r="J50" i="1" l="1"/>
  <c r="K50" i="1" l="1"/>
  <c r="L50" i="1"/>
</calcChain>
</file>

<file path=xl/sharedStrings.xml><?xml version="1.0" encoding="utf-8"?>
<sst xmlns="http://schemas.openxmlformats.org/spreadsheetml/2006/main" count="97" uniqueCount="62">
  <si>
    <t>JAWABAN UNTUK PENYUSUTAN</t>
  </si>
  <si>
    <t>Harga Perolehan aktiva selama 3 tahun terakhir  (Penyusutan untuk Biaya Pemasaran)</t>
  </si>
  <si>
    <t>Peralatan 1</t>
  </si>
  <si>
    <t>Keterangan</t>
  </si>
  <si>
    <t>Kelompok</t>
  </si>
  <si>
    <t>Tanggal Perolehan</t>
  </si>
  <si>
    <t>Harga Perolehan</t>
  </si>
  <si>
    <t>Metode Penyusutan</t>
  </si>
  <si>
    <t>Kelompok 1</t>
  </si>
  <si>
    <t>Garis Lurus</t>
  </si>
  <si>
    <t>TAHUN</t>
  </si>
  <si>
    <t>PENYUSUTAN</t>
  </si>
  <si>
    <t>AKUMULASI</t>
  </si>
  <si>
    <t>NILAI SISA</t>
  </si>
  <si>
    <t>Peralatan 2</t>
  </si>
  <si>
    <t>HP</t>
  </si>
  <si>
    <t>Peralatan 3</t>
  </si>
  <si>
    <t>Saldo Menurun Ganda</t>
  </si>
  <si>
    <t>Peralatan 4</t>
  </si>
  <si>
    <t>Kelompok 2</t>
  </si>
  <si>
    <t>18/08/2018</t>
  </si>
  <si>
    <t>Penyusutan per tahun</t>
  </si>
  <si>
    <t>STUDENTID</t>
  </si>
  <si>
    <t>FULLNAME</t>
  </si>
  <si>
    <t>Question Number</t>
  </si>
  <si>
    <t>WIDI REKSA WILIYANA</t>
  </si>
  <si>
    <t>NADIA SRI MEIGINTA BR BARUS</t>
  </si>
  <si>
    <t>BARUNA</t>
  </si>
  <si>
    <t>NI LUH YUNINDA SASHIA</t>
  </si>
  <si>
    <t>HILMIYAH NAFISAH</t>
  </si>
  <si>
    <t>VIONA ANGELAPUTRI TIFANI</t>
  </si>
  <si>
    <t>RAKA WISNU SAPUTRA</t>
  </si>
  <si>
    <t>NANDIA MAULIDINA PUTRI</t>
  </si>
  <si>
    <t>PUTTY AISYAH DWI ANGELINA</t>
  </si>
  <si>
    <t>MUHAMMAD A'SIF</t>
  </si>
  <si>
    <t>NAJWA HUWAINA</t>
  </si>
  <si>
    <t>RIDHO PUTRA RAMADHAN</t>
  </si>
  <si>
    <t>HANI AZIZAH SYNTIA</t>
  </si>
  <si>
    <t>ZAHRA RANI ARIYANTI</t>
  </si>
  <si>
    <t>RAFA AQILAH</t>
  </si>
  <si>
    <t>FAUZAN NADI IZDIHAR</t>
  </si>
  <si>
    <t>JULIANI DEBORA SIMANJORANG</t>
  </si>
  <si>
    <t>NURJANNAH MAULIDINA</t>
  </si>
  <si>
    <t>ZAHRA AULIA RAMADHANI</t>
  </si>
  <si>
    <t>BILQIS NAILAH FAUZIYYAH</t>
  </si>
  <si>
    <t>TSURAYA HASNA WINDYA</t>
  </si>
  <si>
    <t>IFTIHA RIZKI AZZAHRA</t>
  </si>
  <si>
    <t>ANTHEA SAFANA NURDYANI</t>
  </si>
  <si>
    <t>M. DHIYO PRATAMA</t>
  </si>
  <si>
    <t>ZASKIA SEPTIA PUTRI</t>
  </si>
  <si>
    <t>ADELLIA KUSUMA ANJANI</t>
  </si>
  <si>
    <t>MUHAMMAD DAFFA</t>
  </si>
  <si>
    <t>FADHLURRAHMAN HAFIZH</t>
  </si>
  <si>
    <t>HAPSARI TANJUNG</t>
  </si>
  <si>
    <t>2018(Okt - Des)</t>
  </si>
  <si>
    <t>2022(Jan-Sep)</t>
  </si>
  <si>
    <t>2019(Agu - Des)</t>
  </si>
  <si>
    <t>2023(Jan-Jul)</t>
  </si>
  <si>
    <t>2020(Okt - Des)</t>
  </si>
  <si>
    <t>2024(Jan-Sep)</t>
  </si>
  <si>
    <t>2018(Agu-Des)</t>
  </si>
  <si>
    <t>2026(Jan-Apr)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</si>
</sst>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8" formatCode="_(* #,##0_);_(* \(#,##0\);_(* &quot;-&quot;??_);_(@_)"/>
    <numFmt numFmtId="169" formatCode="_-&quot;Rp&quot;* #,##0_-;\-&quot;Rp&quot;* #,##0_-;_-&quot;Rp&quot;* &quot;-&quot;??_-;_-@_-"/>
  </numFmts>
  <fonts count="14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  <font>
      <sz val="11"/>
      <color theme="1"/>
      <name val="Aptos Narrow"/>
      <scheme val="minor"/>
    </font>
    <font>
      <sz val="11"/>
      <color rgb="FF000000"/>
      <name val="Calibri"/>
    </font>
    <font>
      <sz val="11"/>
      <color theme="1"/>
      <name val="Aptos Narrow"/>
    </font>
    <font>
      <sz val="11"/>
      <name val="Aptos Narrow"/>
    </font>
    <font>
      <sz val="12"/>
      <color theme="1"/>
      <name val="Arial"/>
    </font>
    <font>
      <sz val="11"/>
      <color theme="1"/>
      <name val="Segoe UI"/>
    </font>
    <font>
      <sz val="11"/>
      <color theme="1"/>
      <name val="Arial"/>
    </font>
    <font>
      <sz val="11"/>
      <color theme="1"/>
      <name val="Calibri"/>
    </font>
    <font>
      <sz val="11"/>
      <name val="Calibri"/>
    </font>
    <font>
      <sz val="12"/>
      <name val="Aptos Narrow"/>
      <family val="2"/>
      <charset val="1"/>
      <scheme val="minor"/>
    </font>
    <font>
      <b/>
      <sz val="11"/>
      <color theme="1"/>
      <name val="Calibri"/>
    </font>
    <font>
      <sz val="12"/>
      <color theme="1"/>
      <name val="Aptos Narrow"/>
      <family val="2"/>
      <charset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D9D9D9"/>
        <bgColor rgb="FFD9D9D9"/>
      </patternFill>
    </fill>
    <fill>
      <patternFill patternType="solid">
        <fgColor rgb="FFB8D4EF"/>
        <bgColor rgb="FFB8D4EF"/>
      </patternFill>
    </fill>
    <fill>
      <patternFill patternType="solid">
        <fgColor theme="8" tint="0.59999389629810485"/>
        <bgColor rgb="FFF4B08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BE4D5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46">
    <xf numFmtId="0" fontId="0" fillId="0" borderId="0" xfId="0"/>
    <xf numFmtId="0" fontId="2" fillId="0" borderId="0" xfId="3"/>
    <xf numFmtId="0" fontId="2" fillId="0" borderId="0" xfId="3" applyFont="1"/>
    <xf numFmtId="0" fontId="4" fillId="0" borderId="3" xfId="3" applyFont="1" applyBorder="1"/>
    <xf numFmtId="168" fontId="4" fillId="0" borderId="3" xfId="3" applyNumberFormat="1" applyFont="1" applyBorder="1"/>
    <xf numFmtId="0" fontId="4" fillId="7" borderId="3" xfId="3" applyFont="1" applyFill="1" applyBorder="1" applyAlignment="1">
      <alignment horizontal="center"/>
    </xf>
    <xf numFmtId="14" fontId="4" fillId="0" borderId="3" xfId="3" applyNumberFormat="1" applyFont="1" applyBorder="1"/>
    <xf numFmtId="0" fontId="4" fillId="0" borderId="3" xfId="3" applyFont="1" applyBorder="1" applyAlignment="1">
      <alignment vertical="center" wrapText="1"/>
    </xf>
    <xf numFmtId="16" fontId="4" fillId="0" borderId="3" xfId="3" quotePrefix="1" applyNumberFormat="1" applyFont="1" applyBorder="1" applyAlignment="1">
      <alignment horizontal="right" vertical="center" wrapText="1"/>
    </xf>
    <xf numFmtId="3" fontId="4" fillId="0" borderId="3" xfId="3" applyNumberFormat="1" applyFont="1" applyBorder="1" applyAlignment="1">
      <alignment vertical="center" wrapText="1"/>
    </xf>
    <xf numFmtId="168" fontId="4" fillId="0" borderId="0" xfId="3" applyNumberFormat="1" applyFont="1"/>
    <xf numFmtId="14" fontId="4" fillId="0" borderId="0" xfId="3" applyNumberFormat="1" applyFont="1" applyAlignment="1">
      <alignment horizontal="left"/>
    </xf>
    <xf numFmtId="43" fontId="4" fillId="0" borderId="0" xfId="3" applyNumberFormat="1" applyFont="1"/>
    <xf numFmtId="0" fontId="0" fillId="0" borderId="0" xfId="0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41" fontId="11" fillId="0" borderId="8" xfId="1" applyFont="1" applyBorder="1" applyAlignment="1">
      <alignment horizontal="left"/>
    </xf>
    <xf numFmtId="169" fontId="11" fillId="0" borderId="8" xfId="2" applyNumberFormat="1" applyFont="1" applyBorder="1" applyAlignment="1">
      <alignment horizontal="left"/>
    </xf>
    <xf numFmtId="0" fontId="11" fillId="0" borderId="8" xfId="1" applyNumberFormat="1" applyFont="1" applyBorder="1" applyAlignment="1">
      <alignment horizontal="left"/>
    </xf>
    <xf numFmtId="169" fontId="9" fillId="0" borderId="6" xfId="2" applyNumberFormat="1" applyFont="1" applyBorder="1" applyAlignment="1">
      <alignment horizontal="left"/>
    </xf>
    <xf numFmtId="169" fontId="9" fillId="0" borderId="7" xfId="2" applyNumberFormat="1" applyFont="1" applyBorder="1" applyAlignment="1">
      <alignment horizontal="left"/>
    </xf>
    <xf numFmtId="14" fontId="9" fillId="0" borderId="3" xfId="0" applyNumberFormat="1" applyFont="1" applyBorder="1" applyAlignment="1">
      <alignment horizontal="left"/>
    </xf>
    <xf numFmtId="0" fontId="9" fillId="0" borderId="3" xfId="0" applyFont="1" applyBorder="1" applyAlignment="1">
      <alignment horizontal="left" wrapText="1"/>
    </xf>
    <xf numFmtId="169" fontId="9" fillId="0" borderId="3" xfId="2" applyNumberFormat="1" applyFont="1" applyBorder="1" applyAlignment="1">
      <alignment horizontal="left"/>
    </xf>
    <xf numFmtId="169" fontId="13" fillId="0" borderId="8" xfId="2" applyNumberFormat="1" applyFont="1" applyBorder="1" applyAlignment="1">
      <alignment horizontal="left"/>
    </xf>
    <xf numFmtId="0" fontId="9" fillId="8" borderId="0" xfId="0" applyFont="1" applyFill="1" applyAlignment="1">
      <alignment horizontal="left"/>
    </xf>
    <xf numFmtId="0" fontId="10" fillId="9" borderId="0" xfId="0" applyFont="1" applyFill="1" applyAlignment="1">
      <alignment horizontal="left"/>
    </xf>
    <xf numFmtId="0" fontId="12" fillId="10" borderId="2" xfId="0" applyFont="1" applyFill="1" applyBorder="1" applyAlignment="1">
      <alignment horizontal="center"/>
    </xf>
    <xf numFmtId="169" fontId="12" fillId="10" borderId="2" xfId="2" applyNumberFormat="1" applyFont="1" applyFill="1" applyBorder="1" applyAlignment="1">
      <alignment horizontal="center"/>
    </xf>
    <xf numFmtId="0" fontId="12" fillId="10" borderId="2" xfId="0" applyFont="1" applyFill="1" applyBorder="1" applyAlignment="1">
      <alignment horizontal="left"/>
    </xf>
    <xf numFmtId="169" fontId="12" fillId="10" borderId="2" xfId="2" applyNumberFormat="1" applyFont="1" applyFill="1" applyBorder="1" applyAlignment="1">
      <alignment horizontal="left"/>
    </xf>
    <xf numFmtId="0" fontId="12" fillId="10" borderId="3" xfId="0" applyFont="1" applyFill="1" applyBorder="1" applyAlignment="1">
      <alignment horizontal="left"/>
    </xf>
    <xf numFmtId="168" fontId="12" fillId="10" borderId="3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1" fontId="6" fillId="0" borderId="3" xfId="0" applyNumberFormat="1" applyFont="1" applyBorder="1" applyAlignment="1">
      <alignment horizontal="right"/>
    </xf>
    <xf numFmtId="0" fontId="6" fillId="2" borderId="3" xfId="0" applyFont="1" applyFill="1" applyBorder="1"/>
    <xf numFmtId="0" fontId="4" fillId="0" borderId="3" xfId="0" applyFont="1" applyBorder="1" applyAlignment="1">
      <alignment horizontal="center"/>
    </xf>
    <xf numFmtId="0" fontId="6" fillId="3" borderId="3" xfId="0" applyFont="1" applyFill="1" applyBorder="1"/>
    <xf numFmtId="0" fontId="6" fillId="4" borderId="3" xfId="0" applyFont="1" applyFill="1" applyBorder="1"/>
    <xf numFmtId="0" fontId="6" fillId="5" borderId="3" xfId="0" applyFont="1" applyFill="1" applyBorder="1"/>
    <xf numFmtId="0" fontId="6" fillId="6" borderId="3" xfId="0" applyFont="1" applyFill="1" applyBorder="1"/>
    <xf numFmtId="1" fontId="7" fillId="0" borderId="0" xfId="0" applyNumberFormat="1" applyFont="1" applyAlignment="1">
      <alignment horizontal="right"/>
    </xf>
    <xf numFmtId="0" fontId="8" fillId="0" borderId="3" xfId="0" applyFont="1" applyBorder="1" applyAlignment="1">
      <alignment horizontal="center"/>
    </xf>
  </cellXfs>
  <cellStyles count="4">
    <cellStyle name="Comma [0]" xfId="1" builtinId="6"/>
    <cellStyle name="Currency" xfId="2" builtinId="4"/>
    <cellStyle name="Normal" xfId="0" builtinId="0"/>
    <cellStyle name="Normal 2" xfId="3" xr:uid="{CFA10792-C772-41E9-9D53-D5D0DEB350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ACCA-9DC4-4467-9527-537BAEB5C78C}">
  <dimension ref="B2:D32"/>
  <sheetViews>
    <sheetView topLeftCell="A11" workbookViewId="0">
      <selection activeCell="D23" sqref="D23"/>
    </sheetView>
  </sheetViews>
  <sheetFormatPr defaultRowHeight="14.5" x14ac:dyDescent="0.35"/>
  <cols>
    <col min="2" max="2" width="18.7265625" customWidth="1"/>
    <col min="3" max="3" width="46.6328125" customWidth="1"/>
    <col min="4" max="4" width="16.6328125" customWidth="1"/>
  </cols>
  <sheetData>
    <row r="2" spans="2:4" x14ac:dyDescent="0.35">
      <c r="B2" s="34" t="s">
        <v>22</v>
      </c>
      <c r="C2" s="34" t="s">
        <v>23</v>
      </c>
      <c r="D2" s="35" t="s">
        <v>24</v>
      </c>
    </row>
    <row r="3" spans="2:4" x14ac:dyDescent="0.35">
      <c r="B3" s="36"/>
      <c r="C3" s="36"/>
      <c r="D3" s="36"/>
    </row>
    <row r="4" spans="2:4" ht="15.5" x14ac:dyDescent="0.35">
      <c r="B4" s="37">
        <v>607032400001</v>
      </c>
      <c r="C4" s="38" t="s">
        <v>25</v>
      </c>
      <c r="D4" s="39">
        <v>1</v>
      </c>
    </row>
    <row r="5" spans="2:4" ht="15.5" x14ac:dyDescent="0.35">
      <c r="B5" s="37">
        <v>607032400003</v>
      </c>
      <c r="C5" s="38" t="s">
        <v>26</v>
      </c>
      <c r="D5" s="39">
        <v>2</v>
      </c>
    </row>
    <row r="6" spans="2:4" ht="15.5" x14ac:dyDescent="0.35">
      <c r="B6" s="37">
        <v>607032400019</v>
      </c>
      <c r="C6" s="38" t="s">
        <v>27</v>
      </c>
      <c r="D6" s="39">
        <f t="shared" ref="D6:D31" si="0">D5+1</f>
        <v>3</v>
      </c>
    </row>
    <row r="7" spans="2:4" ht="15.5" x14ac:dyDescent="0.35">
      <c r="B7" s="37">
        <v>607032400028</v>
      </c>
      <c r="C7" s="38" t="s">
        <v>28</v>
      </c>
      <c r="D7" s="39">
        <f t="shared" si="0"/>
        <v>4</v>
      </c>
    </row>
    <row r="8" spans="2:4" ht="15.5" x14ac:dyDescent="0.35">
      <c r="B8" s="37">
        <v>607032400031</v>
      </c>
      <c r="C8" s="38" t="s">
        <v>29</v>
      </c>
      <c r="D8" s="39">
        <f t="shared" si="0"/>
        <v>5</v>
      </c>
    </row>
    <row r="9" spans="2:4" ht="15.5" x14ac:dyDescent="0.35">
      <c r="B9" s="37">
        <v>607032400038</v>
      </c>
      <c r="C9" s="40" t="s">
        <v>30</v>
      </c>
      <c r="D9" s="39">
        <f t="shared" si="0"/>
        <v>6</v>
      </c>
    </row>
    <row r="10" spans="2:4" ht="15.5" x14ac:dyDescent="0.35">
      <c r="B10" s="37">
        <v>607032400039</v>
      </c>
      <c r="C10" s="40" t="s">
        <v>31</v>
      </c>
      <c r="D10" s="39">
        <f t="shared" si="0"/>
        <v>7</v>
      </c>
    </row>
    <row r="11" spans="2:4" ht="15.5" x14ac:dyDescent="0.35">
      <c r="B11" s="37">
        <v>607032400043</v>
      </c>
      <c r="C11" s="40" t="s">
        <v>32</v>
      </c>
      <c r="D11" s="39">
        <f t="shared" si="0"/>
        <v>8</v>
      </c>
    </row>
    <row r="12" spans="2:4" ht="15.5" x14ac:dyDescent="0.35">
      <c r="B12" s="37">
        <v>607032400047</v>
      </c>
      <c r="C12" s="40" t="s">
        <v>33</v>
      </c>
      <c r="D12" s="39">
        <f t="shared" si="0"/>
        <v>9</v>
      </c>
    </row>
    <row r="13" spans="2:4" ht="15.5" x14ac:dyDescent="0.35">
      <c r="B13" s="37">
        <v>607032400049</v>
      </c>
      <c r="C13" s="40" t="s">
        <v>34</v>
      </c>
      <c r="D13" s="39">
        <f t="shared" si="0"/>
        <v>10</v>
      </c>
    </row>
    <row r="14" spans="2:4" ht="15.5" x14ac:dyDescent="0.35">
      <c r="B14" s="37">
        <v>607032400052</v>
      </c>
      <c r="C14" s="40" t="s">
        <v>35</v>
      </c>
      <c r="D14" s="39">
        <f t="shared" si="0"/>
        <v>11</v>
      </c>
    </row>
    <row r="15" spans="2:4" ht="15.5" x14ac:dyDescent="0.35">
      <c r="B15" s="37">
        <v>607032400056</v>
      </c>
      <c r="C15" s="41" t="s">
        <v>36</v>
      </c>
      <c r="D15" s="39">
        <f t="shared" si="0"/>
        <v>12</v>
      </c>
    </row>
    <row r="16" spans="2:4" ht="15.5" x14ac:dyDescent="0.35">
      <c r="B16" s="37">
        <v>607032400057</v>
      </c>
      <c r="C16" s="41" t="s">
        <v>37</v>
      </c>
      <c r="D16" s="39">
        <f t="shared" si="0"/>
        <v>13</v>
      </c>
    </row>
    <row r="17" spans="2:4" ht="15.5" x14ac:dyDescent="0.35">
      <c r="B17" s="37">
        <v>607032400060</v>
      </c>
      <c r="C17" s="41" t="s">
        <v>38</v>
      </c>
      <c r="D17" s="39">
        <f t="shared" si="0"/>
        <v>14</v>
      </c>
    </row>
    <row r="18" spans="2:4" ht="15.5" x14ac:dyDescent="0.35">
      <c r="B18" s="37">
        <v>607032400063</v>
      </c>
      <c r="C18" s="41" t="s">
        <v>39</v>
      </c>
      <c r="D18" s="39">
        <f t="shared" si="0"/>
        <v>15</v>
      </c>
    </row>
    <row r="19" spans="2:4" ht="15.5" x14ac:dyDescent="0.35">
      <c r="B19" s="37">
        <v>607032400069</v>
      </c>
      <c r="C19" s="41" t="s">
        <v>40</v>
      </c>
      <c r="D19" s="39">
        <f t="shared" si="0"/>
        <v>16</v>
      </c>
    </row>
    <row r="20" spans="2:4" ht="15.5" x14ac:dyDescent="0.35">
      <c r="B20" s="37">
        <v>607032400071</v>
      </c>
      <c r="C20" s="42" t="s">
        <v>41</v>
      </c>
      <c r="D20" s="39">
        <f t="shared" si="0"/>
        <v>17</v>
      </c>
    </row>
    <row r="21" spans="2:4" ht="15.5" x14ac:dyDescent="0.35">
      <c r="B21" s="37">
        <v>607032400076</v>
      </c>
      <c r="C21" s="42" t="s">
        <v>42</v>
      </c>
      <c r="D21" s="39">
        <f t="shared" si="0"/>
        <v>18</v>
      </c>
    </row>
    <row r="22" spans="2:4" ht="15.5" x14ac:dyDescent="0.35">
      <c r="B22" s="37">
        <v>607032400079</v>
      </c>
      <c r="C22" s="42" t="s">
        <v>43</v>
      </c>
      <c r="D22" s="39">
        <f t="shared" si="0"/>
        <v>19</v>
      </c>
    </row>
    <row r="23" spans="2:4" ht="15.5" x14ac:dyDescent="0.35">
      <c r="B23" s="37">
        <v>607032400084</v>
      </c>
      <c r="C23" s="42" t="s">
        <v>44</v>
      </c>
      <c r="D23" s="39">
        <f t="shared" si="0"/>
        <v>20</v>
      </c>
    </row>
    <row r="24" spans="2:4" ht="15.5" x14ac:dyDescent="0.35">
      <c r="B24" s="37">
        <v>607032400085</v>
      </c>
      <c r="C24" s="42" t="s">
        <v>45</v>
      </c>
      <c r="D24" s="39">
        <f t="shared" si="0"/>
        <v>21</v>
      </c>
    </row>
    <row r="25" spans="2:4" ht="15.5" x14ac:dyDescent="0.35">
      <c r="B25" s="37">
        <v>607032430003</v>
      </c>
      <c r="C25" s="43" t="s">
        <v>46</v>
      </c>
      <c r="D25" s="39">
        <f t="shared" si="0"/>
        <v>22</v>
      </c>
    </row>
    <row r="26" spans="2:4" ht="15.5" x14ac:dyDescent="0.35">
      <c r="B26" s="37">
        <v>607032430005</v>
      </c>
      <c r="C26" s="43" t="s">
        <v>47</v>
      </c>
      <c r="D26" s="39">
        <f t="shared" si="0"/>
        <v>23</v>
      </c>
    </row>
    <row r="27" spans="2:4" ht="15.5" x14ac:dyDescent="0.35">
      <c r="B27" s="37">
        <v>607032430007</v>
      </c>
      <c r="C27" s="43" t="s">
        <v>48</v>
      </c>
      <c r="D27" s="39">
        <f t="shared" si="0"/>
        <v>24</v>
      </c>
    </row>
    <row r="28" spans="2:4" ht="15.5" x14ac:dyDescent="0.35">
      <c r="B28" s="37">
        <v>607032430008</v>
      </c>
      <c r="C28" s="43" t="s">
        <v>49</v>
      </c>
      <c r="D28" s="39">
        <f t="shared" si="0"/>
        <v>25</v>
      </c>
    </row>
    <row r="29" spans="2:4" ht="16.5" x14ac:dyDescent="0.45">
      <c r="B29" s="44">
        <v>607032400024</v>
      </c>
      <c r="C29" s="43" t="s">
        <v>50</v>
      </c>
      <c r="D29" s="39">
        <f t="shared" si="0"/>
        <v>26</v>
      </c>
    </row>
    <row r="30" spans="2:4" ht="15.5" x14ac:dyDescent="0.35">
      <c r="B30" s="37">
        <v>607032300122</v>
      </c>
      <c r="C30" s="43" t="s">
        <v>51</v>
      </c>
      <c r="D30" s="39">
        <f t="shared" si="0"/>
        <v>27</v>
      </c>
    </row>
    <row r="31" spans="2:4" ht="16.5" x14ac:dyDescent="0.45">
      <c r="B31" s="44">
        <v>607032300052</v>
      </c>
      <c r="C31" s="43" t="s">
        <v>52</v>
      </c>
      <c r="D31" s="39">
        <f t="shared" si="0"/>
        <v>28</v>
      </c>
    </row>
    <row r="32" spans="2:4" ht="16.5" x14ac:dyDescent="0.45">
      <c r="B32" s="44">
        <v>607032300123</v>
      </c>
      <c r="C32" s="43" t="s">
        <v>53</v>
      </c>
      <c r="D32" s="45">
        <v>29</v>
      </c>
    </row>
  </sheetData>
  <mergeCells count="3">
    <mergeCell ref="B2:B3"/>
    <mergeCell ref="C2:C3"/>
    <mergeCell ref="D2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4DC01-AFE1-4FC1-BCF7-BD95C675D815}">
  <dimension ref="C3:M50"/>
  <sheetViews>
    <sheetView tabSelected="1" topLeftCell="A17" zoomScale="59" zoomScaleNormal="82" workbookViewId="0">
      <selection activeCell="N20" sqref="N20"/>
    </sheetView>
  </sheetViews>
  <sheetFormatPr defaultRowHeight="14.5" x14ac:dyDescent="0.35"/>
  <cols>
    <col min="3" max="3" width="17.81640625" customWidth="1"/>
    <col min="4" max="4" width="16.1796875" customWidth="1"/>
    <col min="5" max="5" width="18" customWidth="1"/>
    <col min="6" max="6" width="20.26953125" customWidth="1"/>
    <col min="7" max="7" width="18.90625" customWidth="1"/>
    <col min="9" max="9" width="24.6328125" customWidth="1"/>
    <col min="10" max="10" width="21.453125" customWidth="1"/>
    <col min="11" max="11" width="23.08984375" customWidth="1"/>
    <col min="12" max="12" width="21.81640625" customWidth="1"/>
  </cols>
  <sheetData>
    <row r="3" spans="3:13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3:13" x14ac:dyDescent="0.35">
      <c r="C4" s="1"/>
      <c r="D4" s="1"/>
      <c r="E4" s="1"/>
      <c r="F4" s="1"/>
      <c r="G4" s="1"/>
      <c r="H4" s="1"/>
      <c r="I4" s="26" t="s">
        <v>0</v>
      </c>
      <c r="J4" s="27"/>
      <c r="K4" s="27"/>
      <c r="L4" s="27"/>
    </row>
    <row r="5" spans="3:13" x14ac:dyDescent="0.35">
      <c r="C5" s="2" t="s">
        <v>1</v>
      </c>
      <c r="D5" s="1"/>
      <c r="E5" s="1"/>
      <c r="F5" s="1"/>
      <c r="G5" s="1"/>
      <c r="H5" s="1"/>
      <c r="I5" s="13"/>
      <c r="J5" s="13"/>
      <c r="K5" s="13"/>
      <c r="L5" s="13"/>
    </row>
    <row r="6" spans="3:13" x14ac:dyDescent="0.35">
      <c r="C6" s="1"/>
      <c r="D6" s="1"/>
      <c r="E6" s="1"/>
      <c r="F6" s="1"/>
      <c r="G6" s="1"/>
      <c r="H6" s="1"/>
      <c r="I6" s="14" t="s">
        <v>2</v>
      </c>
      <c r="J6" s="3" t="s">
        <v>9</v>
      </c>
      <c r="K6" s="15" t="s">
        <v>8</v>
      </c>
      <c r="L6" s="6">
        <v>43378</v>
      </c>
    </row>
    <row r="7" spans="3:13" ht="16" x14ac:dyDescent="0.4"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  <c r="H7" s="1"/>
      <c r="I7" s="16" t="s">
        <v>21</v>
      </c>
      <c r="J7" s="20"/>
      <c r="K7" s="20"/>
      <c r="L7" s="21">
        <f>F8/4</f>
        <v>69812440</v>
      </c>
    </row>
    <row r="8" spans="3:13" x14ac:dyDescent="0.35">
      <c r="C8" s="3" t="s">
        <v>2</v>
      </c>
      <c r="D8" s="3" t="s">
        <v>8</v>
      </c>
      <c r="E8" s="6">
        <v>43378</v>
      </c>
      <c r="F8" s="4">
        <v>279249760</v>
      </c>
      <c r="G8" s="3" t="s">
        <v>9</v>
      </c>
      <c r="H8" s="1"/>
      <c r="I8" s="28" t="s">
        <v>10</v>
      </c>
      <c r="J8" s="29" t="s">
        <v>11</v>
      </c>
      <c r="K8" s="29" t="s">
        <v>12</v>
      </c>
      <c r="L8" s="29" t="s">
        <v>13</v>
      </c>
    </row>
    <row r="9" spans="3:13" ht="16" x14ac:dyDescent="0.4">
      <c r="C9" s="3" t="s">
        <v>14</v>
      </c>
      <c r="D9" s="3" t="s">
        <v>8</v>
      </c>
      <c r="E9" s="6">
        <v>43682</v>
      </c>
      <c r="F9" s="4">
        <v>323796800</v>
      </c>
      <c r="G9" s="3" t="s">
        <v>9</v>
      </c>
      <c r="H9" s="1"/>
      <c r="I9" s="17" t="s">
        <v>15</v>
      </c>
      <c r="J9" s="18"/>
      <c r="K9" s="18"/>
      <c r="L9" s="18">
        <f>F8</f>
        <v>279249760</v>
      </c>
    </row>
    <row r="10" spans="3:13" ht="16" x14ac:dyDescent="0.4">
      <c r="C10" s="3" t="s">
        <v>16</v>
      </c>
      <c r="D10" s="3" t="s">
        <v>8</v>
      </c>
      <c r="E10" s="6">
        <v>44129</v>
      </c>
      <c r="F10" s="4">
        <v>326867200</v>
      </c>
      <c r="G10" s="3" t="s">
        <v>17</v>
      </c>
      <c r="H10" s="1"/>
      <c r="I10" s="19" t="s">
        <v>54</v>
      </c>
      <c r="J10" s="18">
        <f>3/12*L7</f>
        <v>17453110</v>
      </c>
      <c r="K10" s="18">
        <f>J10</f>
        <v>17453110</v>
      </c>
      <c r="L10" s="18">
        <f>L9-J10</f>
        <v>261796650</v>
      </c>
    </row>
    <row r="11" spans="3:13" ht="16" x14ac:dyDescent="0.4">
      <c r="C11" s="7" t="s">
        <v>18</v>
      </c>
      <c r="D11" s="7" t="s">
        <v>19</v>
      </c>
      <c r="E11" s="8" t="s">
        <v>20</v>
      </c>
      <c r="F11" s="9">
        <v>834918400</v>
      </c>
      <c r="G11" s="7" t="s">
        <v>17</v>
      </c>
      <c r="H11" s="1"/>
      <c r="I11" s="19">
        <v>2019</v>
      </c>
      <c r="J11" s="18">
        <f>L7</f>
        <v>69812440</v>
      </c>
      <c r="K11" s="18">
        <f>K10+J11</f>
        <v>87265550</v>
      </c>
      <c r="L11" s="18">
        <f>L10-J11</f>
        <v>191984210</v>
      </c>
    </row>
    <row r="12" spans="3:13" ht="16" x14ac:dyDescent="0.4">
      <c r="C12" s="1"/>
      <c r="D12" s="1"/>
      <c r="E12" s="1"/>
      <c r="F12" s="1"/>
      <c r="G12" s="1"/>
      <c r="H12" s="1"/>
      <c r="I12" s="19">
        <v>2020</v>
      </c>
      <c r="J12" s="18">
        <f>J11</f>
        <v>69812440</v>
      </c>
      <c r="K12" s="18">
        <f>K11+J12</f>
        <v>157077990</v>
      </c>
      <c r="L12" s="18">
        <f>L11-J12</f>
        <v>122171770</v>
      </c>
    </row>
    <row r="13" spans="3:13" ht="16" x14ac:dyDescent="0.4">
      <c r="C13" s="1"/>
      <c r="D13" s="1"/>
      <c r="E13" s="1"/>
      <c r="F13" s="1"/>
      <c r="G13" s="1"/>
      <c r="H13" s="1"/>
      <c r="I13" s="19">
        <v>2021</v>
      </c>
      <c r="J13" s="18">
        <f>J12</f>
        <v>69812440</v>
      </c>
      <c r="K13" s="18">
        <f>K12+J13</f>
        <v>226890430</v>
      </c>
      <c r="L13" s="18">
        <f>L12-J13</f>
        <v>52359330</v>
      </c>
    </row>
    <row r="14" spans="3:13" ht="16" x14ac:dyDescent="0.4">
      <c r="C14" s="1"/>
      <c r="D14" s="1"/>
      <c r="E14" s="1"/>
      <c r="F14" s="1"/>
      <c r="G14" s="1"/>
      <c r="H14" s="1"/>
      <c r="I14" s="19" t="s">
        <v>55</v>
      </c>
      <c r="J14" s="18">
        <f>9/12*L7</f>
        <v>52359330</v>
      </c>
      <c r="K14" s="18">
        <f>K13+J14</f>
        <v>279249760</v>
      </c>
      <c r="L14" s="18">
        <f>L13-J14</f>
        <v>0</v>
      </c>
    </row>
    <row r="15" spans="3:13" x14ac:dyDescent="0.35">
      <c r="C15" s="1"/>
      <c r="D15" s="1"/>
      <c r="E15" s="1"/>
      <c r="F15" s="1"/>
      <c r="G15" s="1"/>
      <c r="H15" s="1"/>
      <c r="I15" s="13"/>
      <c r="J15" s="13"/>
      <c r="K15" s="13"/>
      <c r="L15" s="13"/>
    </row>
    <row r="16" spans="3:13" x14ac:dyDescent="0.35">
      <c r="C16" s="1"/>
      <c r="D16" s="1"/>
      <c r="E16" s="1"/>
      <c r="F16" s="1"/>
      <c r="G16" s="10"/>
      <c r="H16" s="1"/>
      <c r="I16" s="13"/>
      <c r="J16" s="13"/>
      <c r="K16" s="13"/>
      <c r="L16" s="13"/>
    </row>
    <row r="17" spans="3:12" x14ac:dyDescent="0.35">
      <c r="C17" s="1"/>
      <c r="D17" s="1"/>
      <c r="E17" s="1"/>
      <c r="F17" s="10"/>
      <c r="G17" s="1"/>
      <c r="H17" s="1"/>
      <c r="I17" s="14" t="s">
        <v>14</v>
      </c>
      <c r="J17" s="3" t="s">
        <v>9</v>
      </c>
      <c r="K17" s="15" t="s">
        <v>8</v>
      </c>
      <c r="L17" s="6">
        <v>43682</v>
      </c>
    </row>
    <row r="18" spans="3:12" ht="16" x14ac:dyDescent="0.4">
      <c r="C18" s="1"/>
      <c r="D18" s="1"/>
      <c r="E18" s="1"/>
      <c r="F18" s="10"/>
      <c r="G18" s="1"/>
      <c r="H18" s="1"/>
      <c r="I18" s="16" t="s">
        <v>21</v>
      </c>
      <c r="J18" s="20"/>
      <c r="K18" s="20"/>
      <c r="L18" s="21">
        <f>F9/4</f>
        <v>80949200</v>
      </c>
    </row>
    <row r="19" spans="3:12" x14ac:dyDescent="0.35">
      <c r="C19" s="1"/>
      <c r="D19" s="1"/>
      <c r="E19" s="11"/>
      <c r="F19" s="10"/>
      <c r="G19" s="1"/>
      <c r="H19" s="1"/>
      <c r="I19" s="30" t="s">
        <v>10</v>
      </c>
      <c r="J19" s="31" t="s">
        <v>11</v>
      </c>
      <c r="K19" s="31" t="s">
        <v>12</v>
      </c>
      <c r="L19" s="31" t="s">
        <v>13</v>
      </c>
    </row>
    <row r="20" spans="3:12" ht="16" x14ac:dyDescent="0.4">
      <c r="C20" s="1"/>
      <c r="D20" s="1"/>
      <c r="E20" s="1"/>
      <c r="F20" s="1"/>
      <c r="G20" s="1"/>
      <c r="H20" s="1"/>
      <c r="I20" s="17" t="s">
        <v>15</v>
      </c>
      <c r="J20" s="18"/>
      <c r="K20" s="18"/>
      <c r="L20" s="18">
        <f>F9</f>
        <v>323796800</v>
      </c>
    </row>
    <row r="21" spans="3:12" ht="16" x14ac:dyDescent="0.4">
      <c r="C21" s="1"/>
      <c r="D21" s="1"/>
      <c r="E21" s="1"/>
      <c r="F21" s="1"/>
      <c r="G21" s="1"/>
      <c r="H21" s="1"/>
      <c r="I21" s="19" t="s">
        <v>56</v>
      </c>
      <c r="J21" s="18">
        <f>5/12*L18</f>
        <v>33728833.333333336</v>
      </c>
      <c r="K21" s="18">
        <f>J21</f>
        <v>33728833.333333336</v>
      </c>
      <c r="L21" s="18">
        <f>L20-J21</f>
        <v>290067966.66666669</v>
      </c>
    </row>
    <row r="22" spans="3:12" ht="16" x14ac:dyDescent="0.4">
      <c r="C22" s="1"/>
      <c r="D22" s="1"/>
      <c r="E22" s="1"/>
      <c r="F22" s="1"/>
      <c r="G22" s="1"/>
      <c r="H22" s="1"/>
      <c r="I22" s="19">
        <v>2020</v>
      </c>
      <c r="J22" s="18">
        <f>L18</f>
        <v>80949200</v>
      </c>
      <c r="K22" s="18">
        <f>K21+J22</f>
        <v>114678033.33333334</v>
      </c>
      <c r="L22" s="18">
        <f>L21-J22</f>
        <v>209118766.66666669</v>
      </c>
    </row>
    <row r="23" spans="3:12" ht="16" x14ac:dyDescent="0.4">
      <c r="C23" s="1"/>
      <c r="D23" s="1"/>
      <c r="E23" s="1"/>
      <c r="F23" s="1"/>
      <c r="G23" s="1"/>
      <c r="H23" s="1"/>
      <c r="I23" s="19">
        <v>2021</v>
      </c>
      <c r="J23" s="18">
        <f>J22</f>
        <v>80949200</v>
      </c>
      <c r="K23" s="18">
        <f>K22+J23</f>
        <v>195627233.33333334</v>
      </c>
      <c r="L23" s="18">
        <f>L22-J23</f>
        <v>128169566.66666669</v>
      </c>
    </row>
    <row r="24" spans="3:12" ht="16" x14ac:dyDescent="0.4">
      <c r="C24" s="1"/>
      <c r="D24" s="1"/>
      <c r="E24" s="1"/>
      <c r="F24" s="1"/>
      <c r="G24" s="1"/>
      <c r="H24" s="1"/>
      <c r="I24" s="19">
        <v>2022</v>
      </c>
      <c r="J24" s="18">
        <f>J23</f>
        <v>80949200</v>
      </c>
      <c r="K24" s="18">
        <f>K23+J24</f>
        <v>276576433.33333337</v>
      </c>
      <c r="L24" s="18">
        <f>L23-J24</f>
        <v>47220366.666666687</v>
      </c>
    </row>
    <row r="25" spans="3:12" ht="16" x14ac:dyDescent="0.4">
      <c r="C25" s="1"/>
      <c r="D25" s="1"/>
      <c r="E25" s="1"/>
      <c r="F25" s="1"/>
      <c r="G25" s="10"/>
      <c r="H25" s="1"/>
      <c r="I25" s="19" t="s">
        <v>57</v>
      </c>
      <c r="J25" s="18">
        <f>7/12*L18</f>
        <v>47220366.666666672</v>
      </c>
      <c r="K25" s="18">
        <f>K24+J25</f>
        <v>323796800.00000006</v>
      </c>
      <c r="L25" s="18">
        <f>L24-J25</f>
        <v>0</v>
      </c>
    </row>
    <row r="26" spans="3:12" x14ac:dyDescent="0.35">
      <c r="C26" s="1"/>
      <c r="D26" s="1"/>
      <c r="E26" s="1"/>
      <c r="F26" s="1"/>
      <c r="G26" s="1"/>
      <c r="H26" s="1"/>
      <c r="I26" s="13"/>
      <c r="J26" s="13"/>
      <c r="K26" s="13"/>
      <c r="L26" s="13"/>
    </row>
    <row r="27" spans="3:12" x14ac:dyDescent="0.35">
      <c r="C27" s="1"/>
      <c r="D27" s="1"/>
      <c r="E27" s="1"/>
      <c r="F27" s="1"/>
      <c r="G27" s="1"/>
      <c r="H27" s="1"/>
      <c r="I27" s="13"/>
      <c r="J27" s="13"/>
      <c r="K27" s="13"/>
      <c r="L27" s="13"/>
    </row>
    <row r="28" spans="3:12" x14ac:dyDescent="0.35">
      <c r="C28" s="1"/>
      <c r="D28" s="1"/>
      <c r="E28" s="1"/>
      <c r="F28" s="1"/>
      <c r="G28" s="1"/>
      <c r="H28" s="1"/>
      <c r="I28" s="15" t="s">
        <v>16</v>
      </c>
      <c r="J28" s="15" t="s">
        <v>17</v>
      </c>
      <c r="K28" s="15" t="s">
        <v>8</v>
      </c>
      <c r="L28" s="6">
        <v>44129</v>
      </c>
    </row>
    <row r="29" spans="3:12" x14ac:dyDescent="0.35">
      <c r="C29" s="1"/>
      <c r="D29" s="1"/>
      <c r="E29" s="1"/>
      <c r="F29" s="1"/>
      <c r="G29" s="1"/>
      <c r="H29" s="1"/>
      <c r="I29" s="22" t="s">
        <v>21</v>
      </c>
      <c r="J29" s="15"/>
      <c r="K29" s="15"/>
      <c r="L29" s="24">
        <f>50%*F10</f>
        <v>163433600</v>
      </c>
    </row>
    <row r="30" spans="3:12" x14ac:dyDescent="0.35">
      <c r="C30" s="1"/>
      <c r="D30" s="1"/>
      <c r="E30" s="1"/>
      <c r="F30" s="1"/>
      <c r="G30" s="1"/>
      <c r="H30" s="1"/>
      <c r="I30" s="32" t="s">
        <v>10</v>
      </c>
      <c r="J30" s="32" t="s">
        <v>11</v>
      </c>
      <c r="K30" s="32" t="s">
        <v>12</v>
      </c>
      <c r="L30" s="32" t="s">
        <v>13</v>
      </c>
    </row>
    <row r="31" spans="3:12" ht="16" x14ac:dyDescent="0.4">
      <c r="C31" s="1"/>
      <c r="D31" s="1"/>
      <c r="E31" s="1"/>
      <c r="F31" s="1"/>
      <c r="G31" s="1"/>
      <c r="H31" s="1"/>
      <c r="I31" s="17" t="s">
        <v>15</v>
      </c>
      <c r="J31" s="18"/>
      <c r="K31" s="18"/>
      <c r="L31" s="18">
        <f>F10</f>
        <v>326867200</v>
      </c>
    </row>
    <row r="32" spans="3:12" ht="16" x14ac:dyDescent="0.4">
      <c r="C32" s="1"/>
      <c r="D32" s="1"/>
      <c r="E32" s="1"/>
      <c r="F32" s="1"/>
      <c r="G32" s="12"/>
      <c r="H32" s="1"/>
      <c r="I32" s="19" t="s">
        <v>58</v>
      </c>
      <c r="J32" s="18">
        <f>3/12*L31*50%</f>
        <v>40858400</v>
      </c>
      <c r="K32" s="18">
        <f>J32</f>
        <v>40858400</v>
      </c>
      <c r="L32" s="18">
        <f>L31-J32</f>
        <v>286008800</v>
      </c>
    </row>
    <row r="33" spans="3:12" ht="16" x14ac:dyDescent="0.4">
      <c r="C33" s="1"/>
      <c r="D33" s="1"/>
      <c r="E33" s="1"/>
      <c r="F33" s="1"/>
      <c r="G33" s="12"/>
      <c r="H33" s="1"/>
      <c r="I33" s="19">
        <v>2021</v>
      </c>
      <c r="J33" s="18">
        <f>50%*L32</f>
        <v>143004400</v>
      </c>
      <c r="K33" s="18">
        <f>K32+J33</f>
        <v>183862800</v>
      </c>
      <c r="L33" s="18">
        <f>L32-J33</f>
        <v>143004400</v>
      </c>
    </row>
    <row r="34" spans="3:12" ht="16" x14ac:dyDescent="0.4">
      <c r="C34" s="1"/>
      <c r="D34" s="1"/>
      <c r="E34" s="1"/>
      <c r="F34" s="1"/>
      <c r="G34" s="1"/>
      <c r="H34" s="1"/>
      <c r="I34" s="19">
        <v>2022</v>
      </c>
      <c r="J34" s="18">
        <f>50%*L33</f>
        <v>71502200</v>
      </c>
      <c r="K34" s="18">
        <f>K33+J34</f>
        <v>255365000</v>
      </c>
      <c r="L34" s="18">
        <f>L33-J34</f>
        <v>71502200</v>
      </c>
    </row>
    <row r="35" spans="3:12" ht="16" x14ac:dyDescent="0.4">
      <c r="G35" s="1"/>
      <c r="H35" s="1"/>
      <c r="I35" s="19">
        <v>2023</v>
      </c>
      <c r="J35" s="18">
        <f>50%*L34</f>
        <v>35751100</v>
      </c>
      <c r="K35" s="18">
        <f>K34+J35</f>
        <v>291116100</v>
      </c>
      <c r="L35" s="18">
        <f>L34-J35</f>
        <v>35751100</v>
      </c>
    </row>
    <row r="36" spans="3:12" ht="16" x14ac:dyDescent="0.4">
      <c r="G36" s="1"/>
      <c r="H36" s="1"/>
      <c r="I36" s="19" t="s">
        <v>59</v>
      </c>
      <c r="J36" s="18">
        <f>L35</f>
        <v>35751100</v>
      </c>
      <c r="K36" s="18">
        <f>K35+J36</f>
        <v>326867200</v>
      </c>
      <c r="L36" s="18">
        <f>L35-J36</f>
        <v>0</v>
      </c>
    </row>
    <row r="37" spans="3:12" x14ac:dyDescent="0.35">
      <c r="G37" s="1"/>
      <c r="H37" s="1"/>
      <c r="I37" s="13"/>
      <c r="J37" s="13"/>
      <c r="K37" s="13"/>
      <c r="L37" s="13"/>
    </row>
    <row r="38" spans="3:12" x14ac:dyDescent="0.35">
      <c r="G38" s="1"/>
      <c r="H38" s="1"/>
      <c r="I38" s="23" t="s">
        <v>18</v>
      </c>
      <c r="J38" s="15" t="s">
        <v>17</v>
      </c>
      <c r="K38" s="15" t="s">
        <v>19</v>
      </c>
      <c r="L38" s="8" t="s">
        <v>20</v>
      </c>
    </row>
    <row r="39" spans="3:12" x14ac:dyDescent="0.35">
      <c r="G39" s="1"/>
      <c r="H39" s="1"/>
      <c r="I39" s="22" t="s">
        <v>21</v>
      </c>
      <c r="J39" s="15"/>
      <c r="K39" s="15"/>
      <c r="L39" s="24">
        <f>25%*F11</f>
        <v>208729600</v>
      </c>
    </row>
    <row r="40" spans="3:12" x14ac:dyDescent="0.35">
      <c r="G40" s="1"/>
      <c r="H40" s="1"/>
      <c r="I40" s="32" t="s">
        <v>10</v>
      </c>
      <c r="J40" s="33" t="s">
        <v>11</v>
      </c>
      <c r="K40" s="33" t="s">
        <v>12</v>
      </c>
      <c r="L40" s="33" t="s">
        <v>13</v>
      </c>
    </row>
    <row r="41" spans="3:12" ht="16" x14ac:dyDescent="0.4">
      <c r="G41" s="1"/>
      <c r="H41" s="1"/>
      <c r="I41" s="19" t="s">
        <v>15</v>
      </c>
      <c r="J41" s="18"/>
      <c r="K41" s="18"/>
      <c r="L41" s="18">
        <f>F11</f>
        <v>834918400</v>
      </c>
    </row>
    <row r="42" spans="3:12" ht="16" x14ac:dyDescent="0.4">
      <c r="G42" s="1"/>
      <c r="H42" s="1"/>
      <c r="I42" s="19" t="s">
        <v>60</v>
      </c>
      <c r="J42" s="18">
        <f>5/12*L41*25%</f>
        <v>86970666.666666672</v>
      </c>
      <c r="K42" s="18">
        <f>J42</f>
        <v>86970666.666666672</v>
      </c>
      <c r="L42" s="18">
        <f t="shared" ref="L42:L50" si="0">L41-J42</f>
        <v>747947733.33333337</v>
      </c>
    </row>
    <row r="43" spans="3:12" ht="16" x14ac:dyDescent="0.4">
      <c r="G43" s="1"/>
      <c r="H43" s="1"/>
      <c r="I43" s="19">
        <v>2019</v>
      </c>
      <c r="J43" s="18">
        <f>L42*25%</f>
        <v>186986933.33333334</v>
      </c>
      <c r="K43" s="18">
        <f>K42+J43</f>
        <v>273957600</v>
      </c>
      <c r="L43" s="18">
        <f t="shared" si="0"/>
        <v>560960800</v>
      </c>
    </row>
    <row r="44" spans="3:12" ht="16" x14ac:dyDescent="0.4">
      <c r="G44" s="1"/>
      <c r="H44" s="1"/>
      <c r="I44" s="19">
        <v>2020</v>
      </c>
      <c r="J44" s="18">
        <f>L43*25%</f>
        <v>140240200</v>
      </c>
      <c r="K44" s="18">
        <f t="shared" ref="K44:K49" si="1">K43+J44</f>
        <v>414197800</v>
      </c>
      <c r="L44" s="18">
        <f t="shared" si="0"/>
        <v>420720600</v>
      </c>
    </row>
    <row r="45" spans="3:12" ht="16" x14ac:dyDescent="0.4">
      <c r="G45" s="1"/>
      <c r="H45" s="1"/>
      <c r="I45" s="19">
        <v>2021</v>
      </c>
      <c r="J45" s="18">
        <f t="shared" ref="J45:J48" si="2">L44*25%</f>
        <v>105180150</v>
      </c>
      <c r="K45" s="18">
        <f t="shared" si="1"/>
        <v>519377950</v>
      </c>
      <c r="L45" s="18">
        <f t="shared" si="0"/>
        <v>315540450</v>
      </c>
    </row>
    <row r="46" spans="3:12" ht="16" x14ac:dyDescent="0.4">
      <c r="G46" s="1"/>
      <c r="H46" s="1"/>
      <c r="I46" s="19">
        <v>2022</v>
      </c>
      <c r="J46" s="18">
        <f t="shared" si="2"/>
        <v>78885112.5</v>
      </c>
      <c r="K46" s="18">
        <f t="shared" si="1"/>
        <v>598263062.5</v>
      </c>
      <c r="L46" s="18">
        <f t="shared" si="0"/>
        <v>236655337.5</v>
      </c>
    </row>
    <row r="47" spans="3:12" ht="16" x14ac:dyDescent="0.4">
      <c r="G47" s="1"/>
      <c r="H47" s="1"/>
      <c r="I47" s="19">
        <v>2023</v>
      </c>
      <c r="J47" s="18">
        <f t="shared" si="2"/>
        <v>59163834.375</v>
      </c>
      <c r="K47" s="18">
        <f t="shared" si="1"/>
        <v>657426896.875</v>
      </c>
      <c r="L47" s="18">
        <f t="shared" si="0"/>
        <v>177491503.125</v>
      </c>
    </row>
    <row r="48" spans="3:12" ht="16" x14ac:dyDescent="0.4">
      <c r="G48" s="1"/>
      <c r="H48" s="1"/>
      <c r="I48" s="19">
        <v>2024</v>
      </c>
      <c r="J48" s="18">
        <f t="shared" si="2"/>
        <v>44372875.78125</v>
      </c>
      <c r="K48" s="18">
        <f t="shared" si="1"/>
        <v>701799772.65625</v>
      </c>
      <c r="L48" s="18">
        <f t="shared" si="0"/>
        <v>133118627.34375</v>
      </c>
    </row>
    <row r="49" spans="7:12" ht="16" x14ac:dyDescent="0.4">
      <c r="G49" s="1"/>
      <c r="H49" s="1"/>
      <c r="I49" s="19">
        <v>2025</v>
      </c>
      <c r="J49" s="18">
        <f>L48*25%</f>
        <v>33279656.8359375</v>
      </c>
      <c r="K49" s="18">
        <f t="shared" si="1"/>
        <v>735079429.4921875</v>
      </c>
      <c r="L49" s="18">
        <f>L48-J49</f>
        <v>99838970.5078125</v>
      </c>
    </row>
    <row r="50" spans="7:12" ht="16" x14ac:dyDescent="0.4">
      <c r="I50" s="19" t="s">
        <v>61</v>
      </c>
      <c r="J50" s="25">
        <f>L49</f>
        <v>99838970.5078125</v>
      </c>
      <c r="K50" s="18">
        <f>K49+J50</f>
        <v>834918400</v>
      </c>
      <c r="L50" s="18">
        <f t="shared" si="0"/>
        <v>0</v>
      </c>
    </row>
  </sheetData>
  <mergeCells count="1">
    <mergeCell ref="I4:L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E11B66AFF66FE84D99924DA7B0D9DE11" ma:contentTypeVersion="5" ma:contentTypeDescription="Buat sebuah dokumen baru." ma:contentTypeScope="" ma:versionID="a7381570b726ae333e5d963e713d1c91">
  <xsd:schema xmlns:xsd="http://www.w3.org/2001/XMLSchema" xmlns:xs="http://www.w3.org/2001/XMLSchema" xmlns:p="http://schemas.microsoft.com/office/2006/metadata/properties" xmlns:ns3="6d765b2e-ce9f-47b9-8ae3-b0a618a86819" targetNamespace="http://schemas.microsoft.com/office/2006/metadata/properties" ma:root="true" ma:fieldsID="b6aa6ffaef98965297f8b0bc5d680ee8" ns3:_="">
    <xsd:import namespace="6d765b2e-ce9f-47b9-8ae3-b0a618a8681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65b2e-ce9f-47b9-8ae3-b0a618a8681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765b2e-ce9f-47b9-8ae3-b0a618a86819" xsi:nil="true"/>
  </documentManagement>
</p:properties>
</file>

<file path=customXml/itemProps1.xml><?xml version="1.0" encoding="utf-8"?>
<ds:datastoreItem xmlns:ds="http://schemas.openxmlformats.org/officeDocument/2006/customXml" ds:itemID="{74284F8A-C0BA-4CA7-A279-4AF56F7E78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765b2e-ce9f-47b9-8ae3-b0a618a868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43B04A-EA64-4011-83AB-6D5FFFB2F8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69E7FA-BA3A-499A-A16D-C2F0D8169A63}">
  <ds:schemaRefs>
    <ds:schemaRef ds:uri="http://schemas.openxmlformats.org/package/2006/metadata/core-properties"/>
    <ds:schemaRef ds:uri="http://schemas.microsoft.com/office/2006/metadata/properties"/>
    <ds:schemaRef ds:uri="6d765b2e-ce9f-47b9-8ae3-b0a618a86819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BILQIS NAILAH FAUZIYYAH</dc:creator>
  <cp:lastModifiedBy>BILQIS NAILAH FAUZIYYAH</cp:lastModifiedBy>
  <dcterms:created xsi:type="dcterms:W3CDTF">2026-03-25T08:55:48Z</dcterms:created>
  <dcterms:modified xsi:type="dcterms:W3CDTF">2026-03-25T09:41:45Z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0x010100E11B66AFF66FE84D99924DA7B0D9DE11</vt:lpwstr>
  </property>
</Properties>
</file>