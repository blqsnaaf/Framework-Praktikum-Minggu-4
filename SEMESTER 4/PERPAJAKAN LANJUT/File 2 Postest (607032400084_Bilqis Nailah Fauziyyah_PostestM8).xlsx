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LQIS NA'ILAH F\Documents\SUBJECT\SEMESTER 4\PERPAJAKAN LANJUT\"/>
    </mc:Choice>
  </mc:AlternateContent>
  <xr:revisionPtr revIDLastSave="0" documentId="13_ncr:1_{1D7F2C76-851B-4019-99C6-6DA612A69CB4}" xr6:coauthVersionLast="47" xr6:coauthVersionMax="47" xr10:uidLastSave="{00000000-0000-0000-0000-000000000000}"/>
  <bookViews>
    <workbookView xWindow="-110" yWindow="-110" windowWidth="19420" windowHeight="11020" activeTab="11" xr2:uid="{00000000-000D-0000-FFFF-FFFF00000000}"/>
  </bookViews>
  <sheets>
    <sheet name="PETUNJUK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Sheet36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1" roundtripDataChecksum="vZVVUBJcpdGK88Vo6tBuDb6Ifgu3tN9GkVqTDs0pdOA="/>
    </ext>
  </extLst>
</workbook>
</file>

<file path=xl/calcChain.xml><?xml version="1.0" encoding="utf-8"?>
<calcChain xmlns="http://schemas.openxmlformats.org/spreadsheetml/2006/main">
  <c r="C160" i="12" l="1"/>
  <c r="C168" i="12"/>
  <c r="D156" i="12"/>
  <c r="C173" i="12"/>
  <c r="C172" i="12"/>
  <c r="C163" i="12"/>
  <c r="C164" i="12"/>
  <c r="B156" i="12" s="1"/>
  <c r="B157" i="12" s="1"/>
  <c r="C171" i="12"/>
  <c r="C170" i="12"/>
  <c r="C169" i="12"/>
  <c r="C162" i="12"/>
  <c r="C161" i="12"/>
  <c r="D131" i="12"/>
  <c r="D133" i="12"/>
  <c r="C144" i="12"/>
  <c r="D144" i="12" s="1"/>
  <c r="C135" i="12"/>
  <c r="D135" i="12" s="1"/>
  <c r="C130" i="12"/>
  <c r="D130" i="12" s="1"/>
  <c r="C113" i="12"/>
  <c r="D113" i="12" s="1"/>
  <c r="C111" i="12"/>
  <c r="D111" i="12" s="1"/>
  <c r="B153" i="12"/>
  <c r="B155" i="12" s="1"/>
  <c r="C151" i="12"/>
  <c r="D151" i="12" s="1"/>
  <c r="C149" i="12"/>
  <c r="C142" i="12"/>
  <c r="C141" i="12"/>
  <c r="D141" i="12" s="1"/>
  <c r="C139" i="12"/>
  <c r="C136" i="12"/>
  <c r="D136" i="12" s="1"/>
  <c r="C131" i="12"/>
  <c r="C128" i="12"/>
  <c r="D128" i="12" s="1"/>
  <c r="D129" i="12"/>
  <c r="C126" i="12"/>
  <c r="D126" i="12" s="1"/>
  <c r="C124" i="12"/>
  <c r="C122" i="12"/>
  <c r="D122" i="12" s="1"/>
  <c r="I125" i="12"/>
  <c r="D119" i="12"/>
  <c r="C119" i="12" s="1"/>
  <c r="I136" i="12"/>
  <c r="I134" i="12"/>
  <c r="G137" i="12" s="1"/>
  <c r="D134" i="12" s="1"/>
  <c r="C134" i="12" s="1"/>
  <c r="G128" i="12"/>
  <c r="H128" i="12"/>
  <c r="I127" i="12"/>
  <c r="I128" i="12" s="1"/>
  <c r="I116" i="12"/>
  <c r="I114" i="12"/>
  <c r="G110" i="12"/>
  <c r="G107" i="12"/>
  <c r="G108" i="12" s="1"/>
  <c r="G109" i="12" s="1"/>
  <c r="I105" i="12"/>
  <c r="I103" i="12"/>
  <c r="G106" i="12" s="1"/>
  <c r="C114" i="12"/>
  <c r="D114" i="12" s="1"/>
  <c r="D112" i="12"/>
  <c r="D115" i="12"/>
  <c r="D116" i="12"/>
  <c r="D117" i="12"/>
  <c r="D118" i="12"/>
  <c r="D123" i="12"/>
  <c r="D124" i="12"/>
  <c r="D125" i="12"/>
  <c r="D127" i="12"/>
  <c r="D132" i="12"/>
  <c r="D137" i="12"/>
  <c r="D138" i="12"/>
  <c r="D139" i="12"/>
  <c r="D140" i="12"/>
  <c r="D142" i="12"/>
  <c r="D143" i="12"/>
  <c r="D145" i="12"/>
  <c r="D146" i="12"/>
  <c r="D147" i="12"/>
  <c r="D148" i="12"/>
  <c r="D149" i="12"/>
  <c r="D150" i="12"/>
  <c r="C110" i="12"/>
  <c r="D110" i="12" s="1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96" i="12"/>
  <c r="B44" i="12"/>
  <c r="B46" i="12" s="1"/>
  <c r="E35" i="12"/>
  <c r="E32" i="12"/>
  <c r="E34" i="12"/>
  <c r="E36" i="12"/>
  <c r="E37" i="12"/>
  <c r="E38" i="12"/>
  <c r="E39" i="12"/>
  <c r="E41" i="12"/>
  <c r="E42" i="12"/>
  <c r="C40" i="12"/>
  <c r="E40" i="12" s="1"/>
  <c r="C35" i="12"/>
  <c r="C32" i="12"/>
  <c r="C33" i="12"/>
  <c r="E33" i="12" s="1"/>
  <c r="C31" i="12"/>
  <c r="E31" i="12" s="1"/>
  <c r="C30" i="12"/>
  <c r="E30" i="12" s="1"/>
  <c r="E44" i="12" s="1"/>
  <c r="E46" i="12" s="1"/>
  <c r="E28" i="12"/>
  <c r="E29" i="12"/>
  <c r="E27" i="12"/>
  <c r="E21" i="1"/>
  <c r="E22" i="1"/>
  <c r="E23" i="1"/>
  <c r="E24" i="1"/>
  <c r="E25" i="1"/>
  <c r="E26" i="1" s="1"/>
  <c r="E27" i="1" s="1"/>
  <c r="E28" i="1" s="1"/>
  <c r="E29" i="1" s="1"/>
  <c r="E30" i="1" s="1"/>
  <c r="E31" i="1" s="1"/>
  <c r="E32" i="1" s="1"/>
  <c r="E5" i="1"/>
  <c r="E6" i="1"/>
  <c r="E7" i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4" i="1"/>
  <c r="G129" i="12" l="1"/>
  <c r="H129" i="12" s="1"/>
  <c r="I129" i="12"/>
  <c r="D120" i="12"/>
  <c r="G117" i="12"/>
  <c r="G121" i="12"/>
  <c r="G118" i="12"/>
  <c r="G119" i="12" s="1"/>
  <c r="G120" i="12" s="1"/>
  <c r="H106" i="12"/>
  <c r="H107" i="12" s="1"/>
  <c r="H108" i="12" s="1"/>
  <c r="H109" i="12" s="1"/>
  <c r="H110" i="12" s="1"/>
  <c r="I106" i="12"/>
  <c r="I107" i="12" s="1"/>
  <c r="I108" i="12" s="1"/>
  <c r="I109" i="12" s="1"/>
  <c r="I110" i="12" s="1"/>
  <c r="I137" i="12"/>
  <c r="G138" i="12" s="1"/>
  <c r="H137" i="12"/>
  <c r="E47" i="12"/>
  <c r="E48" i="12" s="1"/>
  <c r="B47" i="12"/>
  <c r="B48" i="12"/>
  <c r="G130" i="12" l="1"/>
  <c r="I130" i="12" s="1"/>
  <c r="C120" i="12"/>
  <c r="I117" i="12"/>
  <c r="I118" i="12" s="1"/>
  <c r="I119" i="12" s="1"/>
  <c r="I120" i="12" s="1"/>
  <c r="I121" i="12" s="1"/>
  <c r="H117" i="12"/>
  <c r="H118" i="12" s="1"/>
  <c r="H119" i="12" s="1"/>
  <c r="H120" i="12" s="1"/>
  <c r="H121" i="12" s="1"/>
  <c r="H130" i="12" l="1"/>
  <c r="H131" i="12" s="1"/>
  <c r="D121" i="12"/>
  <c r="G131" i="12"/>
  <c r="I131" i="12"/>
  <c r="H138" i="12"/>
  <c r="I138" i="12"/>
  <c r="G139" i="12"/>
  <c r="D153" i="12" l="1"/>
  <c r="D155" i="12" s="1"/>
  <c r="C121" i="12"/>
  <c r="G132" i="12"/>
  <c r="H139" i="12"/>
  <c r="I139" i="12"/>
  <c r="H132" i="12" l="1"/>
  <c r="I132" i="12"/>
  <c r="G140" i="12"/>
  <c r="I140" i="12" s="1"/>
  <c r="G141" i="12" l="1"/>
  <c r="I141" i="12" s="1"/>
  <c r="H140" i="12"/>
  <c r="H141" i="12" s="1"/>
  <c r="G142" i="12" l="1"/>
  <c r="H142" i="12" s="1"/>
  <c r="I142" i="12"/>
  <c r="G143" i="12" l="1"/>
  <c r="H143" i="12" s="1"/>
  <c r="I143" i="12"/>
  <c r="G144" i="12" l="1"/>
  <c r="H144" i="12" l="1"/>
  <c r="I144" i="12"/>
  <c r="I145" i="12" l="1"/>
  <c r="G145" i="12"/>
  <c r="H145" i="12" s="1"/>
  <c r="D157" i="12"/>
</calcChain>
</file>

<file path=xl/sharedStrings.xml><?xml version="1.0" encoding="utf-8"?>
<sst xmlns="http://schemas.openxmlformats.org/spreadsheetml/2006/main" count="7244" uniqueCount="217">
  <si>
    <t>No</t>
  </si>
  <si>
    <t>NIM</t>
  </si>
  <si>
    <t>NAMA</t>
  </si>
  <si>
    <t>NOMOR SOAL</t>
  </si>
  <si>
    <t>SOAL 1 :</t>
  </si>
  <si>
    <t>Data dibawah ini adalah data Pembukuan (Laporan Laba Rugi) dari pemilik TOKO FIRAS</t>
  </si>
  <si>
    <t>Pemilik TOKO FIRAS merupakan seorang PKP dengan Status K/2</t>
  </si>
  <si>
    <t>Pertanyaan : (jawaban ditulis di kertas jawaban)</t>
  </si>
  <si>
    <t>1. Pada laporan keuangan KOMERSIAL : tentukan jumlah beban, Laba Sebelum Pajak, Pajak Penghasilan dan Laba Setelah Pajak</t>
  </si>
  <si>
    <t>2. Tentukan total nilai Koreksi Positif</t>
  </si>
  <si>
    <t>3. Tentukan total nilai Koreksi Negatif</t>
  </si>
  <si>
    <t>4. Pada laporan keuangan FISKAL : tentukan jumlah beban, Laba Sebelum Pajak, Pajak Penghasilan dan Laba Setelah Pajak</t>
  </si>
  <si>
    <t>TOKO FIRAS</t>
  </si>
  <si>
    <t>REKONSILIASI FISKAL</t>
  </si>
  <si>
    <t>KOMERSIAL</t>
  </si>
  <si>
    <t>KOREKSI POSITIF</t>
  </si>
  <si>
    <t>KOREKSI NEGATIF</t>
  </si>
  <si>
    <t>FISKAL</t>
  </si>
  <si>
    <t>PENJUALAN</t>
  </si>
  <si>
    <t>HARGA POKOK PENJUALAN :</t>
  </si>
  <si>
    <t>PERSEDIAAN AWAL</t>
  </si>
  <si>
    <t>PEMBELIAN</t>
  </si>
  <si>
    <t xml:space="preserve">BARANG TERSEDIA UNTUK DIJUAL </t>
  </si>
  <si>
    <t>PERSEDIAAN AKHIR</t>
  </si>
  <si>
    <t>HARGA POKOK PENJUALAN</t>
  </si>
  <si>
    <t>LABA KOTOR</t>
  </si>
  <si>
    <t>BEBAN-BEBAN :</t>
  </si>
  <si>
    <t>Beban Gaji dan Upah Karyawan</t>
  </si>
  <si>
    <t>Beban Perluasan Toko</t>
  </si>
  <si>
    <t>Beban Promosi Media Online</t>
  </si>
  <si>
    <t>Beban Jamuan Tamu (tanpa dialas bukti)</t>
  </si>
  <si>
    <t>Beban Perbaikan mobil Direktur (utk operasional perusahaan)</t>
  </si>
  <si>
    <t>Beban Handphone Direktur</t>
  </si>
  <si>
    <t>Beban Perbaikan AC rumah pribadi direktur</t>
  </si>
  <si>
    <t>Beban Lembur Karyawan</t>
  </si>
  <si>
    <t>Beban Pulsa Direktur</t>
  </si>
  <si>
    <t>Beban Makan (disajikan dikantor)</t>
  </si>
  <si>
    <t>Beban Sembako</t>
  </si>
  <si>
    <t>Beban Pakaian Seragam Wajib</t>
  </si>
  <si>
    <t>Beban Pajak Bumi dan Bangunan</t>
  </si>
  <si>
    <t>Beban Listrik rumah pribadi direktur</t>
  </si>
  <si>
    <t xml:space="preserve"> Beban Sumbangan Bencana Nasional</t>
  </si>
  <si>
    <t>Beban Sumbangan Non Bencana Nasional</t>
  </si>
  <si>
    <t>TOTAL BEBAN</t>
  </si>
  <si>
    <t>LABA SEBELUM PAJAK</t>
  </si>
  <si>
    <t>PAJAK PENGHASILAN</t>
  </si>
  <si>
    <t>LABA SETELAH PAJAK</t>
  </si>
  <si>
    <t>SOAL 2 :</t>
  </si>
  <si>
    <t>Data dibawah ini adalah data Pembukuan (Laporan Laba Rugi) dari pemilik TOKO ARIF KURNIAWAN</t>
  </si>
  <si>
    <t>Data Pemilik TOKO ARIF KURNIAWAN  merupakan seorang PKP dengan Status TK (DATA DILAMPIRKAN DIBAWAH BERIKUT DATA LAINNYA)</t>
  </si>
  <si>
    <t>2. Lengkapi tabel penyusutan (data penyusutan sesuai tahun Laporan Laba Rugi) di masukan ke Laporan Laba Rugi Fiskal</t>
  </si>
  <si>
    <t>3. Tentukan total nilai Koreksi Positif</t>
  </si>
  <si>
    <t>4. Tentukan total nilai Koreksi Negatif</t>
  </si>
  <si>
    <t>5. Pada laporan keuangan FISKAL : tentukan jumlah beban, Laba Sebelum Pajak, Pajak Penghasilan dan Laba Setelah Pajak</t>
  </si>
  <si>
    <t>6. Input semua data ke SPT 1770</t>
  </si>
  <si>
    <t>7. Lampirkan PDF SPT 1770</t>
  </si>
  <si>
    <t>Berikut data (NAMA MAHASISWA SENDIRI)  :</t>
  </si>
  <si>
    <t>Nama Wajib Pajak</t>
  </si>
  <si>
    <t>"NAMA MAHASISWA SENDIRI"</t>
  </si>
  <si>
    <t>Alamat</t>
  </si>
  <si>
    <t>Jl. Dr. Junjunan No. 25 Pasteur Bandung</t>
  </si>
  <si>
    <t>NPWP</t>
  </si>
  <si>
    <t>09.391.975.1.429.000</t>
  </si>
  <si>
    <t>Telp. Rumah/Kantor</t>
  </si>
  <si>
    <t>022-5209809</t>
  </si>
  <si>
    <t>Status</t>
  </si>
  <si>
    <t>Tidak Kawin</t>
  </si>
  <si>
    <t>DATA KELUARGA</t>
  </si>
  <si>
    <t>No.</t>
  </si>
  <si>
    <t>Nama</t>
  </si>
  <si>
    <t>Lahir</t>
  </si>
  <si>
    <t>NIK</t>
  </si>
  <si>
    <t>Keterangan</t>
  </si>
  <si>
    <t>22-Agustus 1983</t>
  </si>
  <si>
    <t>BELUM MENIKAH</t>
  </si>
  <si>
    <t>DATA HARTA PADA AKHIR TAHUN 2019</t>
  </si>
  <si>
    <t>Harta</t>
  </si>
  <si>
    <t>Tahun perolehan</t>
  </si>
  <si>
    <t>Harga perolehan</t>
  </si>
  <si>
    <t>Rumah,bale Endah</t>
  </si>
  <si>
    <t>NOP. 11111111111111111</t>
  </si>
  <si>
    <t>Rumah, Ciwastara</t>
  </si>
  <si>
    <t>NOP. 222222222222222222</t>
  </si>
  <si>
    <t>Motor Yamaha</t>
  </si>
  <si>
    <t>NOP. 3333333333333333</t>
  </si>
  <si>
    <t>Motor Honda Vario</t>
  </si>
  <si>
    <t>NOP.44444444444444444</t>
  </si>
  <si>
    <t>Pada tahun 2017,  meminjam uang ke Bank BCA cabang bandung dengan nilai Rp. 250.000.000 , Jangka waktu pinjaman 10 tahun dengan bunga 9% pertahun</t>
  </si>
  <si>
    <t>Pada akhir desember 2019, saldo pokok pinjaman di Bank BCA senilai Rp 210.000.000,-</t>
  </si>
  <si>
    <t>"NAMA MAHASISWA SENDIRI" juga merupakan Pengusaha Kena Pajak yang melakukan pembukuan untuk usahanya.</t>
  </si>
  <si>
    <t>LENGKAPI TABEL DIBAWAH INI :</t>
  </si>
  <si>
    <t>LAPORAN LABA RUGI</t>
  </si>
  <si>
    <t>KETERANGAN :</t>
  </si>
  <si>
    <t>PER 31 DESEMBER 2020</t>
  </si>
  <si>
    <t>Data Aktiva :</t>
  </si>
  <si>
    <t>PERKIRAAN/ AKUN</t>
  </si>
  <si>
    <t>AKUNTANSI</t>
  </si>
  <si>
    <t>KOREKSI FISKAL</t>
  </si>
  <si>
    <t>Kelompok</t>
  </si>
  <si>
    <t>Tanggal Perolehan</t>
  </si>
  <si>
    <t>Harga Perolehan</t>
  </si>
  <si>
    <t>Metode Penyusutan</t>
  </si>
  <si>
    <t>Penjualan Bruto</t>
  </si>
  <si>
    <t>Sepeda Motor</t>
  </si>
  <si>
    <t>Kelompok 1</t>
  </si>
  <si>
    <t>02/10/2018</t>
  </si>
  <si>
    <t>Garis Lurus</t>
  </si>
  <si>
    <t>Retur Penjualan</t>
  </si>
  <si>
    <t>Meubel</t>
  </si>
  <si>
    <t>05/06/2019</t>
  </si>
  <si>
    <t>Diskon Penjualan</t>
  </si>
  <si>
    <t>Mesin</t>
  </si>
  <si>
    <t>25/03/2018</t>
  </si>
  <si>
    <t>Saldo Menurun Ganda</t>
  </si>
  <si>
    <t>Penjualan Netto</t>
  </si>
  <si>
    <t>Minibus antar jemput</t>
  </si>
  <si>
    <t>Kelompok 2</t>
  </si>
  <si>
    <t>05/02/2020</t>
  </si>
  <si>
    <t>Harga Pokok Penjualan :</t>
  </si>
  <si>
    <t>Persediaan Barang Dagang Awal</t>
  </si>
  <si>
    <t>PENY PER TAHUN</t>
  </si>
  <si>
    <t>Pembelian Barang Dagang</t>
  </si>
  <si>
    <t>Persediaan barang Dagang Akhir</t>
  </si>
  <si>
    <t>TAHUN</t>
  </si>
  <si>
    <t>PENYUSUTAN</t>
  </si>
  <si>
    <t>AKUMULASI</t>
  </si>
  <si>
    <t>NILAI SISA</t>
  </si>
  <si>
    <t>Harga Pokok Penjualan</t>
  </si>
  <si>
    <t>HP</t>
  </si>
  <si>
    <t>Laba Bruto</t>
  </si>
  <si>
    <t>Biaya-Biaya :</t>
  </si>
  <si>
    <t>Premi asuransi kesehatan, asuransi kecelakaan, asuransi jiwa, bagi pemegang saham</t>
  </si>
  <si>
    <t>Biaya untuk kepentingan pribadi pemegang saham (biaya perjalanan pribadi)</t>
  </si>
  <si>
    <t>Bantuan atau sumbangan ke Panti Asuhan (sesuai aturan Kementerian)</t>
  </si>
  <si>
    <t xml:space="preserve">Biaya  Pajak penghasilan </t>
  </si>
  <si>
    <t xml:space="preserve">Biaya untuk kepentingan pribadi Direktur </t>
  </si>
  <si>
    <t>Bantuan atau sumbangan  ke Badan yang disahkan Kementerian</t>
  </si>
  <si>
    <t>Biaya Kerugian Penjualan Mesin</t>
  </si>
  <si>
    <t>Biaya  beasiswa, magang, dan pelatihan karyawan</t>
  </si>
  <si>
    <t>Piutang yang nyata-nyata tidak dapat ditagih / tidak  terdaftar di BUPLN</t>
  </si>
  <si>
    <t>Biaya Penyusutan Sepeda Motor</t>
  </si>
  <si>
    <t>Biaya Penyusutan Meubel</t>
  </si>
  <si>
    <t>Biaya Penyusutan Mesin</t>
  </si>
  <si>
    <t>Biaya Pembelian Pulsa (termasuk pulsa karena jabatan sebesar Rp. 4.500.000)</t>
  </si>
  <si>
    <t>Biaya Pemeliharaan Mobil operasional utk marketing</t>
  </si>
  <si>
    <t>Biaya Pemeliharaan (mobil direktur SDM utk operasional 5.000.000, mobil direktur marketing untuk operasional 12.000.000 dan bus antar jemput 26.000.000)</t>
  </si>
  <si>
    <t>Biaya Pensiun ke MANDIRI LIFE (disahkan Mentri keuangan)</t>
  </si>
  <si>
    <t>Biaya Pensiun ke PT. SINAR MAJU LIFE  (tidak disahkan Menteri Keuangan)</t>
  </si>
  <si>
    <t>Biaya kerugian penjualan kendaraan dinas</t>
  </si>
  <si>
    <t>Beban Pengobatan Cuma-Cuma kepada pegawai</t>
  </si>
  <si>
    <t>Beban Makan Siang Semua Pegawai dan diberikan ditempat kerja</t>
  </si>
  <si>
    <t>Beban PPh 21 yang diberikan sebagai tunjangan</t>
  </si>
  <si>
    <t>Beban pembelian makanan tanpa dialas bukti</t>
  </si>
  <si>
    <t>Beban pembelian makanan dengan dialas bukti</t>
  </si>
  <si>
    <t>Beban Pembelian Minibus untuk antar jemput karyawan</t>
  </si>
  <si>
    <t>Biaya Penyusutan Minibus untuk antar jemput</t>
  </si>
  <si>
    <t>Minibus</t>
  </si>
  <si>
    <t>Beban pemeliharaan minibus antar jemput karyawan</t>
  </si>
  <si>
    <t>Beban Pemeliharaan kendaraan dinas direktur</t>
  </si>
  <si>
    <t>Gaji dan Bonus Pegawai Tetap (terdapat pembagian sembako secara Cuma-Cuma ke karyawan Rp. 15.600.000)</t>
  </si>
  <si>
    <t>Honorarium dan komisi pegawai tidak tetap</t>
  </si>
  <si>
    <t>Pengobatan Gratis bagi karyawan</t>
  </si>
  <si>
    <t>Pakaian  Pegawai Lapangan dan satpam pabrik</t>
  </si>
  <si>
    <t>Telepon, air dan listrik (dalam biaya telpon ada pemakaian rumah pribadi direktur utama dan direktur keuangan Rp. 28.500.000)</t>
  </si>
  <si>
    <t>Biaya pembelian kendaraan dinas untuk direktur administrasi dan umum</t>
  </si>
  <si>
    <t>Pemeliharaan Gedung</t>
  </si>
  <si>
    <t>Pemeliharaan kendaraan operasional (terdapat perbaikan mobil dinas manager administrasi dan umum yang digunakan untuk operasional Rp. 2.900.000)</t>
  </si>
  <si>
    <t>Alat tulis kantor</t>
  </si>
  <si>
    <t>Pendidikan karyawan (terdapat tagihan biaya Bimbingan Belajar anak direktur Rp. 7.300.000)</t>
  </si>
  <si>
    <t>bea balik nama kendaraan bermotor (BBNKB) minibus yang digunakan untuk antar jemput karyawan</t>
  </si>
  <si>
    <t>Sumbangan melalui BAZNAS</t>
  </si>
  <si>
    <t>Sumbangan untuk perayaan 17 Agt dikelurahan setempat</t>
  </si>
  <si>
    <t>PBB (Pajak Bumi dan Bangunan)</t>
  </si>
  <si>
    <t>Pakaian seragam (kegiatan seminar)</t>
  </si>
  <si>
    <t>Pertanyaan :</t>
  </si>
  <si>
    <t>WIDI REKSA WILIYANA</t>
  </si>
  <si>
    <t>NADIA SRI MEIGINTA BR BARUS</t>
  </si>
  <si>
    <t>BARUNA</t>
  </si>
  <si>
    <t>NI LUH YUNINDA SASHIA</t>
  </si>
  <si>
    <t>HILMIYAH NAFISAH</t>
  </si>
  <si>
    <t>VIONA ANGELAPUTRI TIFANI</t>
  </si>
  <si>
    <t>RAKA WISNU SAPUTRA</t>
  </si>
  <si>
    <t>NANDIA MAULIDINA PUTRI</t>
  </si>
  <si>
    <t>PUTTY AISYAH DWI ANGELINA</t>
  </si>
  <si>
    <t>MUHAMMAD A'SIF</t>
  </si>
  <si>
    <t>NAJWA HUWAINA</t>
  </si>
  <si>
    <t>RIDHO PUTRA RAMADHAN</t>
  </si>
  <si>
    <t>HANI AZIZAH SYNTIA</t>
  </si>
  <si>
    <t>ZAHRA RANI ARIYANTI</t>
  </si>
  <si>
    <t>RAFA AQILAH</t>
  </si>
  <si>
    <t>FAUZAN NADI IZDIHAR</t>
  </si>
  <si>
    <t>JULIANI DEBORA SIMANJORANG</t>
  </si>
  <si>
    <t>NURJANNAH MAULIDINA</t>
  </si>
  <si>
    <t>ZAHRA AULIA RAMADHANI</t>
  </si>
  <si>
    <t>BILQIS NAILAH FAUZIYYAH</t>
  </si>
  <si>
    <t>TSURAYA HASNA WINDYA</t>
  </si>
  <si>
    <t>IFTIHA RIZKI AZZAHRA</t>
  </si>
  <si>
    <t>ANTHEA SAFANA NURDYANI</t>
  </si>
  <si>
    <t>M. DHIYO PRATAMA</t>
  </si>
  <si>
    <t>ZASKIA SEPTIA PUTRI</t>
  </si>
  <si>
    <t>ADELLIA KUSUMA ANJANI</t>
  </si>
  <si>
    <t>MUHAMMAD DAFFA</t>
  </si>
  <si>
    <t>FADHLURRAHMAN HAFIZH</t>
  </si>
  <si>
    <t>HAPSARI TANJUNG</t>
  </si>
  <si>
    <t>ALDI BAYU SAPUTRO</t>
  </si>
  <si>
    <t>positif</t>
  </si>
  <si>
    <t>2018(okt-des)</t>
  </si>
  <si>
    <t>2022(jan-sept)</t>
  </si>
  <si>
    <t>2019(Jun - Des)</t>
  </si>
  <si>
    <t>2023 (Jan - Mei)</t>
  </si>
  <si>
    <t>2018(Mar - Des)</t>
  </si>
  <si>
    <t>2022(Jan- Feb)</t>
  </si>
  <si>
    <t>2020(Feb - Des)</t>
  </si>
  <si>
    <t>negatif</t>
  </si>
  <si>
    <t>PKP</t>
  </si>
  <si>
    <t>PTKP</t>
  </si>
  <si>
    <t>CV FIRAS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</si>
</sst>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p&quot;* #,##0.00_-;\-&quot;Rp&quot;* #,##0.00_-;_-&quot;Rp&quot;* &quot;-&quot;??_-;_-@_-"/>
    <numFmt numFmtId="164" formatCode="_-[$Rp-421]* #,##0_-;\-[$Rp-421]* #,##0_-;_-[$Rp-421]* &quot;-&quot;_-;_-@"/>
    <numFmt numFmtId="165" formatCode="_-&quot;Rp&quot;* #,##0_-;\-&quot;Rp&quot;* #,##0_-;_-&quot;Rp&quot;* &quot;-&quot;??_-;_-@"/>
    <numFmt numFmtId="166" formatCode="_(* #,##0_);_(* \(#,##0\);_(* &quot;-&quot;??_);_(@_)"/>
    <numFmt numFmtId="167" formatCode="_-* #,##0_-;\-* #,##0_-;_-* &quot;-&quot;_-;_-@"/>
    <numFmt numFmtId="168" formatCode="_-* #,##0_-;\-* #,##0_-;_-* &quot;-&quot;??_-;_-@"/>
    <numFmt numFmtId="170" formatCode="_-&quot;Rp&quot;* #,##0_-;\-&quot;Rp&quot;* #,##0_-;_-&quot;Rp&quot;* &quot;-&quot;??_-;_-@_-"/>
    <numFmt numFmtId="172" formatCode="_-* #,##0_-;\-* #,##0_-;_-* &quot;-&quot;??_-;_-@_-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666699"/>
      <name val="Verdana"/>
    </font>
    <font>
      <sz val="9"/>
      <color rgb="FF666699"/>
      <name val="Verdana"/>
    </font>
    <font>
      <sz val="9"/>
      <color rgb="FF000099"/>
      <name val="Verdana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name val="Calibri"/>
    </font>
    <font>
      <sz val="11"/>
      <color rgb="FF333333"/>
      <name val="Calibri"/>
    </font>
    <font>
      <sz val="12"/>
      <color theme="1"/>
      <name val="Arial"/>
      <family val="2"/>
    </font>
    <font>
      <sz val="12"/>
      <color theme="1"/>
      <name val="Segoe UI"/>
      <family val="2"/>
    </font>
    <font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D3D6FF"/>
        <bgColor rgb="FFD3D6FF"/>
      </patternFill>
    </fill>
    <fill>
      <patternFill patternType="solid">
        <fgColor rgb="FFEAEBFF"/>
        <bgColor rgb="FFEAEBFF"/>
      </patternFill>
    </fill>
    <fill>
      <patternFill patternType="solid">
        <fgColor rgb="FFD9D9D9"/>
        <bgColor rgb="FFD9D9D9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9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/>
    <xf numFmtId="0" fontId="6" fillId="0" borderId="0" xfId="0" applyFont="1"/>
    <xf numFmtId="0" fontId="5" fillId="6" borderId="2" xfId="0" applyFont="1" applyFill="1" applyBorder="1"/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164" fontId="1" fillId="7" borderId="2" xfId="0" applyNumberFormat="1" applyFont="1" applyFill="1" applyBorder="1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166" fontId="7" fillId="0" borderId="0" xfId="0" applyNumberFormat="1" applyFont="1"/>
    <xf numFmtId="0" fontId="5" fillId="8" borderId="2" xfId="0" applyFont="1" applyFill="1" applyBorder="1"/>
    <xf numFmtId="0" fontId="1" fillId="7" borderId="2" xfId="0" applyFont="1" applyFill="1" applyBorder="1" applyAlignment="1">
      <alignment wrapText="1"/>
    </xf>
    <xf numFmtId="167" fontId="1" fillId="0" borderId="0" xfId="0" applyNumberFormat="1" applyFont="1" applyAlignment="1">
      <alignment wrapText="1"/>
    </xf>
    <xf numFmtId="0" fontId="5" fillId="7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10" borderId="1" xfId="0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5" fillId="1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10" borderId="1" xfId="0" applyFont="1" applyFill="1" applyBorder="1"/>
    <xf numFmtId="165" fontId="1" fillId="10" borderId="1" xfId="0" applyNumberFormat="1" applyFont="1" applyFill="1" applyBorder="1"/>
    <xf numFmtId="0" fontId="1" fillId="0" borderId="1" xfId="0" applyFont="1" applyBorder="1" applyAlignment="1">
      <alignment vertical="center" wrapText="1"/>
    </xf>
    <xf numFmtId="16" fontId="1" fillId="0" borderId="1" xfId="0" quotePrefix="1" applyNumberFormat="1" applyFont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7" fontId="1" fillId="10" borderId="1" xfId="0" applyNumberFormat="1" applyFont="1" applyFill="1" applyBorder="1"/>
    <xf numFmtId="165" fontId="1" fillId="0" borderId="1" xfId="0" applyNumberFormat="1" applyFont="1" applyBorder="1" applyAlignment="1">
      <alignment horizontal="center" vertical="center" wrapText="1"/>
    </xf>
    <xf numFmtId="0" fontId="5" fillId="11" borderId="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167" fontId="5" fillId="0" borderId="1" xfId="0" applyNumberFormat="1" applyFont="1" applyBorder="1" applyAlignment="1">
      <alignment horizontal="center"/>
    </xf>
    <xf numFmtId="167" fontId="1" fillId="0" borderId="1" xfId="0" applyNumberFormat="1" applyFont="1" applyBorder="1"/>
    <xf numFmtId="0" fontId="1" fillId="0" borderId="1" xfId="0" applyFont="1" applyBorder="1"/>
    <xf numFmtId="0" fontId="9" fillId="10" borderId="1" xfId="0" applyFont="1" applyFill="1" applyBorder="1" applyAlignment="1">
      <alignment horizontal="left" vertical="top" wrapText="1"/>
    </xf>
    <xf numFmtId="165" fontId="1" fillId="7" borderId="1" xfId="0" applyNumberFormat="1" applyFont="1" applyFill="1" applyBorder="1"/>
    <xf numFmtId="0" fontId="9" fillId="10" borderId="1" xfId="0" applyFont="1" applyFill="1" applyBorder="1" applyAlignment="1">
      <alignment horizontal="left" wrapText="1"/>
    </xf>
    <xf numFmtId="167" fontId="1" fillId="0" borderId="0" xfId="0" applyNumberFormat="1" applyFont="1"/>
    <xf numFmtId="0" fontId="9" fillId="10" borderId="1" xfId="0" applyFont="1" applyFill="1" applyBorder="1" applyAlignment="1">
      <alignment wrapText="1"/>
    </xf>
    <xf numFmtId="0" fontId="9" fillId="10" borderId="1" xfId="0" applyFont="1" applyFill="1" applyBorder="1"/>
    <xf numFmtId="0" fontId="5" fillId="11" borderId="1" xfId="0" applyFont="1" applyFill="1" applyBorder="1" applyAlignment="1">
      <alignment vertical="center" wrapText="1"/>
    </xf>
    <xf numFmtId="16" fontId="1" fillId="0" borderId="0" xfId="0" applyNumberFormat="1" applyFont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top" wrapText="1"/>
    </xf>
    <xf numFmtId="165" fontId="1" fillId="7" borderId="1" xfId="0" applyNumberFormat="1" applyFont="1" applyFill="1" applyBorder="1" applyAlignment="1">
      <alignment horizontal="center" vertical="top"/>
    </xf>
    <xf numFmtId="0" fontId="1" fillId="10" borderId="1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wrapText="1"/>
    </xf>
    <xf numFmtId="165" fontId="1" fillId="7" borderId="1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right" vertical="center" wrapText="1"/>
    </xf>
    <xf numFmtId="0" fontId="1" fillId="10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wrapText="1"/>
    </xf>
    <xf numFmtId="165" fontId="5" fillId="7" borderId="1" xfId="0" applyNumberFormat="1" applyFont="1" applyFill="1" applyBorder="1"/>
    <xf numFmtId="164" fontId="1" fillId="10" borderId="1" xfId="0" applyNumberFormat="1" applyFont="1" applyFill="1" applyBorder="1"/>
    <xf numFmtId="0" fontId="10" fillId="0" borderId="7" xfId="0" applyFont="1" applyBorder="1" applyAlignment="1">
      <alignment horizontal="right" wrapText="1"/>
    </xf>
    <xf numFmtId="0" fontId="10" fillId="0" borderId="9" xfId="0" applyFont="1" applyBorder="1" applyAlignment="1">
      <alignment horizontal="right" wrapText="1"/>
    </xf>
    <xf numFmtId="0" fontId="11" fillId="0" borderId="9" xfId="0" applyFont="1" applyBorder="1" applyAlignment="1">
      <alignment horizontal="right" wrapText="1"/>
    </xf>
    <xf numFmtId="0" fontId="10" fillId="17" borderId="9" xfId="0" applyFont="1" applyFill="1" applyBorder="1" applyAlignment="1">
      <alignment horizontal="right" wrapText="1"/>
    </xf>
    <xf numFmtId="0" fontId="12" fillId="0" borderId="9" xfId="0" applyFont="1" applyBorder="1" applyAlignment="1">
      <alignment wrapText="1"/>
    </xf>
    <xf numFmtId="0" fontId="12" fillId="16" borderId="10" xfId="0" applyFont="1" applyFill="1" applyBorder="1" applyAlignment="1">
      <alignment wrapText="1"/>
    </xf>
    <xf numFmtId="0" fontId="12" fillId="12" borderId="8" xfId="0" applyFont="1" applyFill="1" applyBorder="1" applyAlignment="1">
      <alignment wrapText="1"/>
    </xf>
    <xf numFmtId="0" fontId="12" fillId="12" borderId="10" xfId="0" applyFont="1" applyFill="1" applyBorder="1" applyAlignment="1">
      <alignment wrapText="1"/>
    </xf>
    <xf numFmtId="0" fontId="12" fillId="13" borderId="10" xfId="0" applyFont="1" applyFill="1" applyBorder="1" applyAlignment="1">
      <alignment wrapText="1"/>
    </xf>
    <xf numFmtId="0" fontId="12" fillId="14" borderId="10" xfId="0" applyFont="1" applyFill="1" applyBorder="1" applyAlignment="1">
      <alignment wrapText="1"/>
    </xf>
    <xf numFmtId="0" fontId="12" fillId="15" borderId="10" xfId="0" applyFont="1" applyFill="1" applyBorder="1" applyAlignment="1">
      <alignment wrapText="1"/>
    </xf>
    <xf numFmtId="0" fontId="5" fillId="9" borderId="3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5" fillId="0" borderId="0" xfId="0" applyFont="1" applyAlignment="1">
      <alignment horizontal="center"/>
    </xf>
    <xf numFmtId="0" fontId="0" fillId="0" borderId="0" xfId="0"/>
    <xf numFmtId="17" fontId="5" fillId="0" borderId="0" xfId="0" applyNumberFormat="1" applyFont="1" applyAlignment="1">
      <alignment horizontal="center"/>
    </xf>
    <xf numFmtId="165" fontId="1" fillId="10" borderId="6" xfId="0" applyNumberFormat="1" applyFont="1" applyFill="1" applyBorder="1"/>
    <xf numFmtId="165" fontId="1" fillId="10" borderId="12" xfId="0" applyNumberFormat="1" applyFont="1" applyFill="1" applyBorder="1"/>
    <xf numFmtId="165" fontId="1" fillId="10" borderId="13" xfId="0" applyNumberFormat="1" applyFont="1" applyFill="1" applyBorder="1"/>
    <xf numFmtId="165" fontId="1" fillId="0" borderId="11" xfId="0" applyNumberFormat="1" applyFont="1" applyBorder="1"/>
    <xf numFmtId="164" fontId="0" fillId="0" borderId="0" xfId="0" applyNumberFormat="1"/>
    <xf numFmtId="0" fontId="0" fillId="18" borderId="0" xfId="0" applyFill="1"/>
    <xf numFmtId="164" fontId="0" fillId="18" borderId="0" xfId="0" applyNumberFormat="1" applyFill="1"/>
    <xf numFmtId="9" fontId="0" fillId="18" borderId="0" xfId="0" applyNumberFormat="1" applyFill="1"/>
    <xf numFmtId="0" fontId="0" fillId="19" borderId="0" xfId="0" applyFill="1"/>
    <xf numFmtId="164" fontId="0" fillId="19" borderId="0" xfId="0" applyNumberFormat="1" applyFill="1"/>
    <xf numFmtId="9" fontId="0" fillId="19" borderId="0" xfId="0" applyNumberFormat="1" applyFill="1"/>
    <xf numFmtId="165" fontId="0" fillId="19" borderId="0" xfId="0" applyNumberFormat="1" applyFill="1"/>
    <xf numFmtId="170" fontId="0" fillId="18" borderId="0" xfId="1" applyNumberFormat="1" applyFont="1" applyFill="1"/>
    <xf numFmtId="170" fontId="0" fillId="19" borderId="0" xfId="1" applyNumberFormat="1" applyFont="1" applyFill="1"/>
    <xf numFmtId="172" fontId="0" fillId="19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topLeftCell="A4" workbookViewId="0">
      <selection activeCell="F9" sqref="F9"/>
    </sheetView>
  </sheetViews>
  <sheetFormatPr defaultColWidth="14.453125" defaultRowHeight="15" customHeight="1" x14ac:dyDescent="0.35"/>
  <cols>
    <col min="1" max="2" width="8.7265625" customWidth="1"/>
    <col min="3" max="3" width="20.26953125" customWidth="1"/>
    <col min="4" max="4" width="31.7265625" customWidth="1"/>
    <col min="5" max="5" width="26" customWidth="1"/>
    <col min="6" max="26" width="8.7265625" customWidth="1"/>
  </cols>
  <sheetData>
    <row r="1" spans="2:5" ht="14.25" customHeight="1" x14ac:dyDescent="0.35"/>
    <row r="2" spans="2:5" ht="14.25" customHeight="1" thickBot="1" x14ac:dyDescent="0.4">
      <c r="B2" s="1" t="s">
        <v>0</v>
      </c>
      <c r="C2" s="1" t="s">
        <v>1</v>
      </c>
      <c r="D2" s="1" t="s">
        <v>2</v>
      </c>
      <c r="E2" s="1" t="s">
        <v>3</v>
      </c>
    </row>
    <row r="3" spans="2:5" ht="14.25" customHeight="1" thickBot="1" x14ac:dyDescent="0.4">
      <c r="B3" s="1">
        <v>1</v>
      </c>
      <c r="C3" s="67"/>
      <c r="D3" s="73" t="s">
        <v>175</v>
      </c>
      <c r="E3" s="2">
        <v>30</v>
      </c>
    </row>
    <row r="4" spans="2:5" ht="14.25" customHeight="1" thickBot="1" x14ac:dyDescent="0.4">
      <c r="B4" s="3">
        <v>2</v>
      </c>
      <c r="C4" s="68"/>
      <c r="D4" s="74" t="s">
        <v>176</v>
      </c>
      <c r="E4" s="4">
        <f>E3-1</f>
        <v>29</v>
      </c>
    </row>
    <row r="5" spans="2:5" ht="14.25" customHeight="1" thickBot="1" x14ac:dyDescent="0.4">
      <c r="B5" s="5">
        <v>3</v>
      </c>
      <c r="C5" s="68"/>
      <c r="D5" s="74" t="s">
        <v>177</v>
      </c>
      <c r="E5" s="4">
        <f t="shared" ref="E5:E32" si="0">E4-1</f>
        <v>28</v>
      </c>
    </row>
    <row r="6" spans="2:5" ht="14.25" customHeight="1" thickBot="1" x14ac:dyDescent="0.4">
      <c r="B6" s="3">
        <v>4</v>
      </c>
      <c r="C6" s="68"/>
      <c r="D6" s="74" t="s">
        <v>178</v>
      </c>
      <c r="E6" s="4">
        <f t="shared" si="0"/>
        <v>27</v>
      </c>
    </row>
    <row r="7" spans="2:5" ht="14.25" customHeight="1" thickBot="1" x14ac:dyDescent="0.4">
      <c r="B7" s="5">
        <v>5</v>
      </c>
      <c r="C7" s="68"/>
      <c r="D7" s="74" t="s">
        <v>179</v>
      </c>
      <c r="E7" s="4">
        <f t="shared" si="0"/>
        <v>26</v>
      </c>
    </row>
    <row r="8" spans="2:5" ht="14.25" customHeight="1" thickBot="1" x14ac:dyDescent="0.4">
      <c r="B8" s="3">
        <v>6</v>
      </c>
      <c r="C8" s="68"/>
      <c r="D8" s="75" t="s">
        <v>180</v>
      </c>
      <c r="E8" s="4">
        <f t="shared" si="0"/>
        <v>25</v>
      </c>
    </row>
    <row r="9" spans="2:5" ht="14.25" customHeight="1" thickBot="1" x14ac:dyDescent="0.4">
      <c r="B9" s="5">
        <v>7</v>
      </c>
      <c r="C9" s="68"/>
      <c r="D9" s="75" t="s">
        <v>181</v>
      </c>
      <c r="E9" s="4">
        <f t="shared" si="0"/>
        <v>24</v>
      </c>
    </row>
    <row r="10" spans="2:5" ht="14.25" customHeight="1" thickBot="1" x14ac:dyDescent="0.4">
      <c r="B10" s="3">
        <v>8</v>
      </c>
      <c r="C10" s="68"/>
      <c r="D10" s="75" t="s">
        <v>182</v>
      </c>
      <c r="E10" s="4">
        <f t="shared" si="0"/>
        <v>23</v>
      </c>
    </row>
    <row r="11" spans="2:5" ht="14.25" customHeight="1" thickBot="1" x14ac:dyDescent="0.4">
      <c r="B11" s="5">
        <v>9</v>
      </c>
      <c r="C11" s="68"/>
      <c r="D11" s="75" t="s">
        <v>183</v>
      </c>
      <c r="E11" s="4">
        <f t="shared" si="0"/>
        <v>22</v>
      </c>
    </row>
    <row r="12" spans="2:5" ht="14.25" customHeight="1" thickBot="1" x14ac:dyDescent="0.4">
      <c r="B12" s="3">
        <v>10</v>
      </c>
      <c r="C12" s="68"/>
      <c r="D12" s="75" t="s">
        <v>184</v>
      </c>
      <c r="E12" s="4">
        <f t="shared" si="0"/>
        <v>21</v>
      </c>
    </row>
    <row r="13" spans="2:5" ht="14.25" customHeight="1" thickBot="1" x14ac:dyDescent="0.4">
      <c r="B13" s="5">
        <v>11</v>
      </c>
      <c r="C13" s="68"/>
      <c r="D13" s="75" t="s">
        <v>185</v>
      </c>
      <c r="E13" s="4">
        <f t="shared" si="0"/>
        <v>20</v>
      </c>
    </row>
    <row r="14" spans="2:5" ht="14.25" customHeight="1" thickBot="1" x14ac:dyDescent="0.4">
      <c r="B14" s="3">
        <v>12</v>
      </c>
      <c r="C14" s="68"/>
      <c r="D14" s="76" t="s">
        <v>186</v>
      </c>
      <c r="E14" s="4">
        <f t="shared" si="0"/>
        <v>19</v>
      </c>
    </row>
    <row r="15" spans="2:5" ht="14.25" customHeight="1" thickBot="1" x14ac:dyDescent="0.4">
      <c r="B15" s="5">
        <v>13</v>
      </c>
      <c r="C15" s="68"/>
      <c r="D15" s="76" t="s">
        <v>187</v>
      </c>
      <c r="E15" s="4">
        <f t="shared" si="0"/>
        <v>18</v>
      </c>
    </row>
    <row r="16" spans="2:5" ht="14.25" customHeight="1" thickBot="1" x14ac:dyDescent="0.4">
      <c r="B16" s="3">
        <v>14</v>
      </c>
      <c r="C16" s="68"/>
      <c r="D16" s="76" t="s">
        <v>188</v>
      </c>
      <c r="E16" s="4">
        <f t="shared" si="0"/>
        <v>17</v>
      </c>
    </row>
    <row r="17" spans="2:5" ht="14.25" customHeight="1" thickBot="1" x14ac:dyDescent="0.4">
      <c r="B17" s="5">
        <v>15</v>
      </c>
      <c r="C17" s="68"/>
      <c r="D17" s="76" t="s">
        <v>189</v>
      </c>
      <c r="E17" s="4">
        <f t="shared" si="0"/>
        <v>16</v>
      </c>
    </row>
    <row r="18" spans="2:5" ht="14.25" customHeight="1" thickBot="1" x14ac:dyDescent="0.4">
      <c r="B18" s="3">
        <v>16</v>
      </c>
      <c r="C18" s="68"/>
      <c r="D18" s="76" t="s">
        <v>190</v>
      </c>
      <c r="E18" s="4">
        <f t="shared" si="0"/>
        <v>15</v>
      </c>
    </row>
    <row r="19" spans="2:5" ht="14.25" customHeight="1" thickBot="1" x14ac:dyDescent="0.4">
      <c r="B19" s="5">
        <v>17</v>
      </c>
      <c r="C19" s="68"/>
      <c r="D19" s="77" t="s">
        <v>191</v>
      </c>
      <c r="E19" s="4">
        <f t="shared" si="0"/>
        <v>14</v>
      </c>
    </row>
    <row r="20" spans="2:5" ht="14.25" customHeight="1" thickBot="1" x14ac:dyDescent="0.4">
      <c r="B20" s="3">
        <v>18</v>
      </c>
      <c r="C20" s="68"/>
      <c r="D20" s="77" t="s">
        <v>192</v>
      </c>
      <c r="E20" s="4">
        <f t="shared" si="0"/>
        <v>13</v>
      </c>
    </row>
    <row r="21" spans="2:5" ht="14.25" customHeight="1" thickBot="1" x14ac:dyDescent="0.4">
      <c r="B21" s="5">
        <v>19</v>
      </c>
      <c r="C21" s="68"/>
      <c r="D21" s="77" t="s">
        <v>193</v>
      </c>
      <c r="E21" s="4">
        <f>E20-1</f>
        <v>12</v>
      </c>
    </row>
    <row r="22" spans="2:5" ht="14.25" customHeight="1" thickBot="1" x14ac:dyDescent="0.4">
      <c r="B22" s="3">
        <v>20</v>
      </c>
      <c r="C22" s="68"/>
      <c r="D22" s="77" t="s">
        <v>194</v>
      </c>
      <c r="E22" s="4">
        <f t="shared" si="0"/>
        <v>11</v>
      </c>
    </row>
    <row r="23" spans="2:5" ht="14.25" customHeight="1" thickBot="1" x14ac:dyDescent="0.4">
      <c r="B23" s="5">
        <v>21</v>
      </c>
      <c r="C23" s="68"/>
      <c r="D23" s="77" t="s">
        <v>195</v>
      </c>
      <c r="E23" s="4">
        <f t="shared" si="0"/>
        <v>10</v>
      </c>
    </row>
    <row r="24" spans="2:5" ht="14.25" customHeight="1" thickBot="1" x14ac:dyDescent="0.4">
      <c r="B24" s="3">
        <v>22</v>
      </c>
      <c r="C24" s="68"/>
      <c r="D24" s="72" t="s">
        <v>196</v>
      </c>
      <c r="E24" s="4">
        <f t="shared" si="0"/>
        <v>9</v>
      </c>
    </row>
    <row r="25" spans="2:5" ht="14.25" customHeight="1" thickBot="1" x14ac:dyDescent="0.4">
      <c r="B25" s="5">
        <v>23</v>
      </c>
      <c r="C25" s="68"/>
      <c r="D25" s="72" t="s">
        <v>197</v>
      </c>
      <c r="E25" s="4">
        <f t="shared" si="0"/>
        <v>8</v>
      </c>
    </row>
    <row r="26" spans="2:5" ht="14.25" customHeight="1" thickBot="1" x14ac:dyDescent="0.4">
      <c r="B26" s="3">
        <v>24</v>
      </c>
      <c r="C26" s="68"/>
      <c r="D26" s="72" t="s">
        <v>198</v>
      </c>
      <c r="E26" s="4">
        <f t="shared" si="0"/>
        <v>7</v>
      </c>
    </row>
    <row r="27" spans="2:5" ht="14.25" customHeight="1" thickBot="1" x14ac:dyDescent="0.4">
      <c r="B27" s="5">
        <v>25</v>
      </c>
      <c r="C27" s="68"/>
      <c r="D27" s="72" t="s">
        <v>199</v>
      </c>
      <c r="E27" s="4">
        <f t="shared" si="0"/>
        <v>6</v>
      </c>
    </row>
    <row r="28" spans="2:5" ht="14.25" customHeight="1" thickBot="1" x14ac:dyDescent="0.5">
      <c r="B28" s="3">
        <v>26</v>
      </c>
      <c r="C28" s="69"/>
      <c r="D28" s="72" t="s">
        <v>200</v>
      </c>
      <c r="E28" s="4">
        <f t="shared" si="0"/>
        <v>5</v>
      </c>
    </row>
    <row r="29" spans="2:5" ht="14.25" customHeight="1" thickBot="1" x14ac:dyDescent="0.4">
      <c r="B29" s="5">
        <v>27</v>
      </c>
      <c r="C29" s="68"/>
      <c r="D29" s="72" t="s">
        <v>201</v>
      </c>
      <c r="E29" s="4">
        <f t="shared" si="0"/>
        <v>4</v>
      </c>
    </row>
    <row r="30" spans="2:5" ht="14.25" customHeight="1" thickBot="1" x14ac:dyDescent="0.4">
      <c r="B30" s="6">
        <v>28</v>
      </c>
      <c r="C30" s="68"/>
      <c r="D30" s="72" t="s">
        <v>202</v>
      </c>
      <c r="E30" s="4">
        <f t="shared" si="0"/>
        <v>3</v>
      </c>
    </row>
    <row r="31" spans="2:5" ht="14.25" customHeight="1" thickBot="1" x14ac:dyDescent="0.5">
      <c r="B31" s="5">
        <v>29</v>
      </c>
      <c r="C31" s="69"/>
      <c r="D31" s="72" t="s">
        <v>203</v>
      </c>
      <c r="E31" s="4">
        <f t="shared" si="0"/>
        <v>2</v>
      </c>
    </row>
    <row r="32" spans="2:5" ht="14.25" customHeight="1" thickBot="1" x14ac:dyDescent="0.4">
      <c r="B32" s="3">
        <v>30</v>
      </c>
      <c r="C32" s="70"/>
      <c r="D32" s="72" t="s">
        <v>204</v>
      </c>
      <c r="E32" s="4">
        <f t="shared" si="0"/>
        <v>1</v>
      </c>
    </row>
    <row r="33" spans="3:4" ht="14.25" customHeight="1" thickBot="1" x14ac:dyDescent="0.4">
      <c r="C33" s="71"/>
      <c r="D33" s="72"/>
    </row>
    <row r="34" spans="3:4" ht="14.25" customHeight="1" x14ac:dyDescent="0.35"/>
    <row r="35" spans="3:4" ht="14.25" customHeight="1" x14ac:dyDescent="0.35"/>
    <row r="36" spans="3:4" ht="14.25" customHeight="1" x14ac:dyDescent="0.35"/>
    <row r="37" spans="3:4" ht="14.25" customHeight="1" x14ac:dyDescent="0.35"/>
    <row r="38" spans="3:4" ht="14.25" customHeight="1" x14ac:dyDescent="0.35"/>
    <row r="39" spans="3:4" ht="14.25" customHeight="1" x14ac:dyDescent="0.35"/>
    <row r="40" spans="3:4" ht="14.25" customHeight="1" x14ac:dyDescent="0.35"/>
    <row r="41" spans="3:4" ht="14.25" customHeight="1" x14ac:dyDescent="0.35"/>
    <row r="42" spans="3:4" ht="14.25" customHeight="1" x14ac:dyDescent="0.35"/>
    <row r="43" spans="3:4" ht="14.25" customHeight="1" x14ac:dyDescent="0.35"/>
    <row r="44" spans="3:4" ht="14.25" customHeight="1" x14ac:dyDescent="0.35"/>
    <row r="45" spans="3:4" ht="14.25" customHeight="1" x14ac:dyDescent="0.35"/>
    <row r="46" spans="3:4" ht="14.25" customHeight="1" x14ac:dyDescent="0.35"/>
    <row r="47" spans="3:4" ht="14.25" customHeight="1" x14ac:dyDescent="0.35"/>
    <row r="48" spans="3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9" t="s">
        <v>7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263800000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276030000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127608000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9772000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9396000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39700000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9960000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3712000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8650000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35000000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3364000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1000000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6250000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7000000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2000000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1000000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9" t="s">
        <v>7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190722000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215460000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320340000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900000000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111780000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112000000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12500000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56034000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29870000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5000000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23100000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185300000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92000000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49200000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52500000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42900000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29800000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26000000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43000000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12000000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3000000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15000000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3000000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134000000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256700000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3400000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143200000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900000000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65200000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89650000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21350000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892859400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51436800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74339400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117590200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29222700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492594000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26858400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87257800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9359400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64332480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17100000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13566000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5700000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31920000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84086000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30.54296875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269076000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281550000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130160000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9967000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9583000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40494000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10159000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3786000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8823000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35700000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3431000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1020000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6375000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7140000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2040000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1020000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194536000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219769000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326746000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918000000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114015000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114240000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12750000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57154000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30467000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5100000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23562000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189006000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93840000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50184000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53550000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43758000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30396000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26520000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43860000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12240000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3060000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15300000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3060000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136680000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261834000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3468000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146064000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918000000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66504000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91443000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21777000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910716500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52465500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75826100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119942000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29807100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502445000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27395500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89002900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9546500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65619120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17442000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13837000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5814000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32558000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85768000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271714000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284310000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131436000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10065000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9677000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40891000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10258000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3823000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8909000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36050000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3464000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1030000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6437000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7210000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2060000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1030000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196443000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221923000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329950000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927000000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115133000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115360000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12875000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57715000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30766000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5150000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23793000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190859000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94760000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50676000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54075000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44187000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30694000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26780000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44290000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12360000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3090000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15450000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3090000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138020000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264401000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3502000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147496000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927000000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67156000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92339000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21990000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919645100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52979900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76569500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121117900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30099300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507371000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27664100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89875500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9640100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66262450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17613000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13972000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5871000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32877000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86609000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274352000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287071000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132712000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10162000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9771000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41288000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10358000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3860000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8996000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36400000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3498000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1040000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6500000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7280000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2080000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1040000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198350000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224078000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333153000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936000000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116251000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116480000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13000000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58275000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31064000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5200000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24024000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192712000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95680000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51168000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54600000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44616000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30992000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27040000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44720000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12480000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3120000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15600000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3120000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139360000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266968000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3536000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148928000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936000000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67808000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93236000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22204000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928573700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53494200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77312900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122293800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30391600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512297000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27932700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90748100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9733700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66905770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17784000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14108000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5928000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33196000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87450000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276990000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289831000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133988000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10260000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9865000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41685000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10458000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3897000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9082000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36750000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3532000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1050000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6562000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7350000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2100000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1050000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200258000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226233000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336357000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945000000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117369000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117600000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13125000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58835000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31363000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5250000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24255000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194565000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96600000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51660000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55125000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45045000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31290000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27300000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45150000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12600000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3150000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15750000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3150000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140700000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269535000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3570000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150360000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945000000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68460000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94132000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22417000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937502300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54008600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78056300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123469700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30683800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517223000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28201300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91620600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9827300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67549100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17955000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14244000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5985000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33516000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88290000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279628000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292591000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135264000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10358000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9959000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42082000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10557000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3934000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9169000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37100000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3565000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1060000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6625000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7420000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2120000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1060000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202165000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228387000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339560000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954000000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118486000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118720000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13250000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59396000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31662000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5300000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24486000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196418000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97520000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52152000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55650000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45474000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31588000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27560000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45580000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12720000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3180000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15900000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3180000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142040000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272102000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3604000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151792000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954000000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69112000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95029000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22631000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946430900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54523000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78799700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124645600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30976000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522149000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28469900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92493200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9920900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68192420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18126000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14379000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6042000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33835000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89131000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topLeftCell="A69"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282266000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295352000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136540000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10456000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10053000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42479000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10657000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3971000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9255000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37450000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3599000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1070000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6687000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7490000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2140000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1070000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204072000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230542000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342763000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963000000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119604000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119840000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13375000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59956000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31960000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5350000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24717000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198271000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98440000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52644000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56175000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45903000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31886000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27820000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46010000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12840000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3210000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16050000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3210000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143380000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274669000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3638000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153224000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963000000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69764000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95925000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22844000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955359500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55037300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79543100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125821500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31268200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527075000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28738400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93365800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10014500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68835750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18297000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14515000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6099000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34154000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89972000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284904000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298112000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137816000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10553000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10147000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42876000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10756000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4008000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9342000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37800000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3633000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1080000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6750000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7560000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2160000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1080000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205979000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232696000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345967000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972000000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120722000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120960000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13500000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60516000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32259000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5400000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24948000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200124000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99360000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53136000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56700000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46332000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32184000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28080000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46440000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12960000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3240000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16200000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3240000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144720000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277236000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3672000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154656000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972000000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70416000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96822000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23058000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964288100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55551700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80286500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126997400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31560500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532001000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29007000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94238400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10108100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69479070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18468000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14651000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6156000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34473000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90813000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287542000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300872000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139092000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10651000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10241000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43273000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10856000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4046000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9428000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38150000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3666000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1090000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6812000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7630000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2180000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1090000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207886000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234851000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349170000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981000000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121840000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122080000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13625000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61077000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32558000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5450000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25179000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201977000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100280000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53628000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57225000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46761000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32482000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28340000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46870000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13080000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3270000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16350000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3270000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146060000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279803000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3706000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156088000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981000000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71068000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97718000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23271000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973216700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56066100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81029900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128173300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31852700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536927000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29275600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95111000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10201700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70122400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18639000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14786000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6213000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34792000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91654000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290180000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303633000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140368000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10749000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10335000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43670000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10956000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4083000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9515000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38500000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3700000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1100000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6875000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7700000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2200000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1100000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209794000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237006000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352374000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990000000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122958000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123200000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13750000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61637000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32857000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5500000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25410000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203830000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101200000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54120000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57750000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47190000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32780000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28600000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47300000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13200000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3300000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16500000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3300000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147400000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282370000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3740000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157520000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990000000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71720000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98615000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23485000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982145300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56580400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81773300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129349200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32144900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541853000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29544200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95983500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10295300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70765720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18810000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14922000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6270000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35112000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92495000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tabSelected="1" topLeftCell="A62" zoomScale="76" zoomScaleNormal="70" workbookViewId="0">
      <selection activeCell="B83" sqref="B83"/>
    </sheetView>
  </sheetViews>
  <sheetFormatPr defaultColWidth="14.453125" defaultRowHeight="15" customHeight="1" x14ac:dyDescent="0.35"/>
  <cols>
    <col min="1" max="1" width="135.08984375" customWidth="1"/>
    <col min="2" max="2" width="28.54296875" customWidth="1"/>
    <col min="3" max="3" width="21" customWidth="1"/>
    <col min="4" max="4" width="23.81640625" customWidth="1"/>
    <col min="5" max="5" width="34.54296875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216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292818000</v>
      </c>
      <c r="C27" s="14">
        <v>0</v>
      </c>
      <c r="D27" s="14">
        <v>0</v>
      </c>
      <c r="E27" s="14">
        <f>B27</f>
        <v>292818000</v>
      </c>
    </row>
    <row r="28" spans="1:5" ht="14.25" customHeight="1" x14ac:dyDescent="0.35">
      <c r="A28" s="8" t="s">
        <v>28</v>
      </c>
      <c r="B28" s="15">
        <v>306393000</v>
      </c>
      <c r="C28" s="14">
        <v>0</v>
      </c>
      <c r="D28" s="14">
        <v>0</v>
      </c>
      <c r="E28" s="14">
        <f t="shared" ref="E28:E42" si="0">B28</f>
        <v>306393000</v>
      </c>
    </row>
    <row r="29" spans="1:5" ht="14.25" customHeight="1" x14ac:dyDescent="0.35">
      <c r="A29" s="8" t="s">
        <v>29</v>
      </c>
      <c r="B29" s="15">
        <v>141644000</v>
      </c>
      <c r="C29" s="14">
        <v>0</v>
      </c>
      <c r="D29" s="14">
        <v>0</v>
      </c>
      <c r="E29" s="14">
        <f t="shared" si="0"/>
        <v>141644000</v>
      </c>
    </row>
    <row r="30" spans="1:5" ht="14.25" customHeight="1" x14ac:dyDescent="0.35">
      <c r="A30" s="8" t="s">
        <v>30</v>
      </c>
      <c r="B30" s="15">
        <v>10846000</v>
      </c>
      <c r="C30" s="14">
        <f>B30</f>
        <v>10846000</v>
      </c>
      <c r="D30" s="14">
        <v>0</v>
      </c>
      <c r="E30" s="14">
        <f>B30-C30</f>
        <v>0</v>
      </c>
    </row>
    <row r="31" spans="1:5" ht="14.25" customHeight="1" x14ac:dyDescent="0.35">
      <c r="A31" s="16" t="s">
        <v>31</v>
      </c>
      <c r="B31" s="15">
        <v>10429000</v>
      </c>
      <c r="C31" s="14">
        <f>50%*B31</f>
        <v>5214500</v>
      </c>
      <c r="D31" s="14">
        <v>0</v>
      </c>
      <c r="E31" s="14">
        <f>B31-C31</f>
        <v>5214500</v>
      </c>
    </row>
    <row r="32" spans="1:5" ht="14.25" customHeight="1" x14ac:dyDescent="0.35">
      <c r="A32" s="8" t="s">
        <v>32</v>
      </c>
      <c r="B32" s="15">
        <v>44067000</v>
      </c>
      <c r="C32" s="14">
        <f t="shared" ref="C32:C35" si="1">50%*B32</f>
        <v>22033500</v>
      </c>
      <c r="D32" s="14">
        <v>0</v>
      </c>
      <c r="E32" s="14">
        <f>B32-C32</f>
        <v>22033500</v>
      </c>
    </row>
    <row r="33" spans="1:5" ht="14.25" customHeight="1" x14ac:dyDescent="0.35">
      <c r="A33" s="8" t="s">
        <v>33</v>
      </c>
      <c r="B33" s="15">
        <v>11055000</v>
      </c>
      <c r="C33" s="14">
        <f t="shared" si="1"/>
        <v>5527500</v>
      </c>
      <c r="D33" s="14">
        <v>0</v>
      </c>
      <c r="E33" s="14">
        <f>B33-C33</f>
        <v>5527500</v>
      </c>
    </row>
    <row r="34" spans="1:5" ht="14.25" customHeight="1" x14ac:dyDescent="0.35">
      <c r="A34" s="8" t="s">
        <v>34</v>
      </c>
      <c r="B34" s="15">
        <v>4120000</v>
      </c>
      <c r="C34" s="14"/>
      <c r="D34" s="14">
        <v>0</v>
      </c>
      <c r="E34" s="14">
        <f t="shared" si="0"/>
        <v>4120000</v>
      </c>
    </row>
    <row r="35" spans="1:5" ht="14.25" customHeight="1" x14ac:dyDescent="0.35">
      <c r="A35" s="8" t="s">
        <v>35</v>
      </c>
      <c r="B35" s="15">
        <v>9601000</v>
      </c>
      <c r="C35" s="14">
        <f t="shared" si="1"/>
        <v>4800500</v>
      </c>
      <c r="D35" s="14">
        <v>0</v>
      </c>
      <c r="E35" s="14">
        <f>B35-C35</f>
        <v>4800500</v>
      </c>
    </row>
    <row r="36" spans="1:5" ht="14.25" customHeight="1" x14ac:dyDescent="0.35">
      <c r="A36" s="8" t="s">
        <v>36</v>
      </c>
      <c r="B36" s="15">
        <v>38850000</v>
      </c>
      <c r="C36" s="14">
        <v>0</v>
      </c>
      <c r="D36" s="14">
        <v>0</v>
      </c>
      <c r="E36" s="14">
        <f t="shared" si="0"/>
        <v>38850000</v>
      </c>
    </row>
    <row r="37" spans="1:5" ht="14.25" customHeight="1" x14ac:dyDescent="0.35">
      <c r="A37" s="8" t="s">
        <v>37</v>
      </c>
      <c r="B37" s="15">
        <v>3734000</v>
      </c>
      <c r="C37" s="14">
        <v>0</v>
      </c>
      <c r="D37" s="14">
        <v>0</v>
      </c>
      <c r="E37" s="14">
        <f t="shared" si="0"/>
        <v>3734000</v>
      </c>
    </row>
    <row r="38" spans="1:5" ht="14.25" customHeight="1" x14ac:dyDescent="0.35">
      <c r="A38" s="8" t="s">
        <v>38</v>
      </c>
      <c r="B38" s="15">
        <v>1110000</v>
      </c>
      <c r="C38" s="14">
        <v>0</v>
      </c>
      <c r="D38" s="14">
        <v>0</v>
      </c>
      <c r="E38" s="14">
        <f t="shared" si="0"/>
        <v>1110000</v>
      </c>
    </row>
    <row r="39" spans="1:5" ht="14.25" customHeight="1" x14ac:dyDescent="0.35">
      <c r="A39" s="8" t="s">
        <v>39</v>
      </c>
      <c r="B39" s="15">
        <v>6937000</v>
      </c>
      <c r="C39" s="14"/>
      <c r="D39" s="14">
        <v>0</v>
      </c>
      <c r="E39" s="14">
        <f t="shared" si="0"/>
        <v>6937000</v>
      </c>
    </row>
    <row r="40" spans="1:5" ht="14.25" customHeight="1" x14ac:dyDescent="0.35">
      <c r="A40" s="8" t="s">
        <v>40</v>
      </c>
      <c r="B40" s="15">
        <v>7770000</v>
      </c>
      <c r="C40" s="14">
        <f>50%*B40</f>
        <v>3885000</v>
      </c>
      <c r="D40" s="14">
        <v>0</v>
      </c>
      <c r="E40" s="14">
        <f>B40-C40</f>
        <v>3885000</v>
      </c>
    </row>
    <row r="41" spans="1:5" ht="14.25" customHeight="1" x14ac:dyDescent="0.35">
      <c r="A41" s="8" t="s">
        <v>41</v>
      </c>
      <c r="B41" s="15">
        <v>2220000</v>
      </c>
      <c r="C41" s="14">
        <v>0</v>
      </c>
      <c r="D41" s="14">
        <v>0</v>
      </c>
      <c r="E41" s="14">
        <f t="shared" si="0"/>
        <v>2220000</v>
      </c>
    </row>
    <row r="42" spans="1:5" ht="14.25" customHeight="1" x14ac:dyDescent="0.35">
      <c r="A42" s="8" t="s">
        <v>42</v>
      </c>
      <c r="B42" s="15">
        <v>1110000</v>
      </c>
      <c r="C42" s="14">
        <v>0</v>
      </c>
      <c r="D42" s="14">
        <v>0</v>
      </c>
      <c r="E42" s="14">
        <f t="shared" si="0"/>
        <v>1110000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f>SUM(B27:B42)</f>
        <v>892704000</v>
      </c>
      <c r="C44" s="14"/>
      <c r="D44" s="14"/>
      <c r="E44" s="14">
        <f>SUM(E27:E43)</f>
        <v>840397000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f>B24-B44</f>
        <v>1719920000</v>
      </c>
      <c r="C46" s="14"/>
      <c r="D46" s="14"/>
      <c r="E46" s="13">
        <f>E24-E44</f>
        <v>1772227000</v>
      </c>
    </row>
    <row r="47" spans="1:5" ht="14.25" customHeight="1" x14ac:dyDescent="0.35">
      <c r="A47" s="8" t="s">
        <v>45</v>
      </c>
      <c r="B47" s="13">
        <f>B46*22%</f>
        <v>378382400</v>
      </c>
      <c r="E47" s="13">
        <f>E46*22%</f>
        <v>389889940</v>
      </c>
    </row>
    <row r="48" spans="1:5" ht="14.25" customHeight="1" x14ac:dyDescent="0.35">
      <c r="A48" s="8" t="s">
        <v>46</v>
      </c>
      <c r="B48" s="13">
        <f>B46-B47</f>
        <v>1341537600</v>
      </c>
      <c r="E48" s="13">
        <f>E46-E47</f>
        <v>1382337060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194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194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f>B96</f>
        <v>11183221500</v>
      </c>
      <c r="F96" s="34" t="s">
        <v>103</v>
      </c>
      <c r="G96" s="31" t="s">
        <v>104</v>
      </c>
      <c r="H96" s="35" t="s">
        <v>105</v>
      </c>
      <c r="I96" s="36">
        <v>211701000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3">
        <f t="shared" ref="D97:D109" si="2">B97</f>
        <v>0</v>
      </c>
      <c r="F97" s="34" t="s">
        <v>108</v>
      </c>
      <c r="G97" s="31" t="s">
        <v>104</v>
      </c>
      <c r="H97" s="35" t="s">
        <v>109</v>
      </c>
      <c r="I97" s="36">
        <v>239160000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3">
        <f t="shared" si="2"/>
        <v>101832200</v>
      </c>
      <c r="F98" s="34" t="s">
        <v>111</v>
      </c>
      <c r="G98" s="31" t="s">
        <v>104</v>
      </c>
      <c r="H98" s="35" t="s">
        <v>112</v>
      </c>
      <c r="I98" s="36">
        <v>355577000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3">
        <f t="shared" si="2"/>
        <v>11081389300</v>
      </c>
      <c r="F99" s="34" t="s">
        <v>115</v>
      </c>
      <c r="G99" s="31" t="s">
        <v>116</v>
      </c>
      <c r="H99" s="35" t="s">
        <v>117</v>
      </c>
      <c r="I99" s="39">
        <v>999000000</v>
      </c>
      <c r="J99" s="37" t="s">
        <v>113</v>
      </c>
    </row>
    <row r="100" spans="1:10" ht="14.25" customHeight="1" x14ac:dyDescent="0.35">
      <c r="A100" s="32"/>
      <c r="B100" s="33"/>
      <c r="C100" s="38"/>
      <c r="D100" s="33">
        <f t="shared" si="2"/>
        <v>0</v>
      </c>
    </row>
    <row r="101" spans="1:10" ht="14.25" customHeight="1" x14ac:dyDescent="0.35">
      <c r="A101" s="32" t="s">
        <v>118</v>
      </c>
      <c r="B101" s="33"/>
      <c r="C101" s="38"/>
      <c r="D101" s="33">
        <f t="shared" si="2"/>
        <v>0</v>
      </c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f t="shared" si="2"/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f t="shared" si="2"/>
        <v>5879404079.999999</v>
      </c>
      <c r="F103" s="45"/>
      <c r="G103" s="45"/>
      <c r="H103" s="45"/>
      <c r="I103" s="14">
        <f>I96/4</f>
        <v>52925250</v>
      </c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f t="shared" si="2"/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f t="shared" si="2"/>
        <v>5755144079.999999</v>
      </c>
      <c r="F105" s="47" t="s">
        <v>128</v>
      </c>
      <c r="G105" s="47"/>
      <c r="H105" s="47"/>
      <c r="I105" s="47">
        <f>I96</f>
        <v>211701000</v>
      </c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f t="shared" si="2"/>
        <v>5326245220.000001</v>
      </c>
      <c r="F106" s="48" t="s">
        <v>206</v>
      </c>
      <c r="G106" s="38">
        <f>3/12*I103</f>
        <v>13231312.5</v>
      </c>
      <c r="H106" s="38">
        <f>G106</f>
        <v>13231312.5</v>
      </c>
      <c r="I106" s="38">
        <f>I105-G106</f>
        <v>198469687.5</v>
      </c>
      <c r="J106" s="45"/>
    </row>
    <row r="107" spans="1:10" ht="14.25" customHeight="1" x14ac:dyDescent="0.35">
      <c r="A107" s="32"/>
      <c r="B107" s="33"/>
      <c r="C107" s="38"/>
      <c r="D107" s="33">
        <f t="shared" si="2"/>
        <v>0</v>
      </c>
      <c r="F107" s="48">
        <v>2019</v>
      </c>
      <c r="G107" s="38">
        <f>I103</f>
        <v>52925250</v>
      </c>
      <c r="H107" s="38">
        <f>H106+G107</f>
        <v>66156562.5</v>
      </c>
      <c r="I107" s="38">
        <f>I106-G107</f>
        <v>145544437.5</v>
      </c>
      <c r="J107" s="45"/>
    </row>
    <row r="108" spans="1:10" ht="14.25" customHeight="1" x14ac:dyDescent="0.35">
      <c r="A108" s="32"/>
      <c r="B108" s="33"/>
      <c r="C108" s="38"/>
      <c r="D108" s="33">
        <f t="shared" si="2"/>
        <v>0</v>
      </c>
      <c r="F108" s="48">
        <v>2020</v>
      </c>
      <c r="G108" s="38">
        <f>G107</f>
        <v>52925250</v>
      </c>
      <c r="H108" s="38">
        <f t="shared" ref="H108:H110" si="3">H107+G108</f>
        <v>119081812.5</v>
      </c>
      <c r="I108" s="38">
        <f t="shared" ref="I108:I110" si="4">I107-G108</f>
        <v>92619187.5</v>
      </c>
      <c r="J108" s="45"/>
    </row>
    <row r="109" spans="1:10" ht="14.25" customHeight="1" x14ac:dyDescent="0.35">
      <c r="A109" s="32" t="s">
        <v>130</v>
      </c>
      <c r="B109" s="33"/>
      <c r="C109" s="38"/>
      <c r="D109" s="33">
        <f t="shared" si="2"/>
        <v>0</v>
      </c>
      <c r="F109" s="48">
        <v>2021</v>
      </c>
      <c r="G109" s="38">
        <f>G108</f>
        <v>52925250</v>
      </c>
      <c r="H109" s="38">
        <f t="shared" si="3"/>
        <v>172007062.5</v>
      </c>
      <c r="I109" s="38">
        <f t="shared" si="4"/>
        <v>39693937.5</v>
      </c>
      <c r="J109" s="45"/>
    </row>
    <row r="110" spans="1:10" ht="14.25" customHeight="1" x14ac:dyDescent="0.35">
      <c r="A110" s="49" t="s">
        <v>131</v>
      </c>
      <c r="B110" s="50">
        <v>124075000</v>
      </c>
      <c r="C110" s="33">
        <f>B110</f>
        <v>124075000</v>
      </c>
      <c r="D110" s="33">
        <f>B110-C110</f>
        <v>0</v>
      </c>
      <c r="E110" t="s">
        <v>205</v>
      </c>
      <c r="F110" s="48" t="s">
        <v>207</v>
      </c>
      <c r="G110" s="38">
        <f>9/12*I103</f>
        <v>39693937.5</v>
      </c>
      <c r="H110" s="38">
        <f t="shared" si="3"/>
        <v>211701000</v>
      </c>
      <c r="I110" s="38">
        <f t="shared" si="4"/>
        <v>0</v>
      </c>
      <c r="J110" s="45"/>
    </row>
    <row r="111" spans="1:10" ht="14.25" customHeight="1" x14ac:dyDescent="0.35">
      <c r="A111" s="51" t="s">
        <v>132</v>
      </c>
      <c r="B111" s="50">
        <v>124320000</v>
      </c>
      <c r="C111" s="33">
        <f>B111</f>
        <v>124320000</v>
      </c>
      <c r="D111" s="33">
        <f>B111-C111</f>
        <v>0</v>
      </c>
      <c r="E111" t="s">
        <v>205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13875000</v>
      </c>
      <c r="C112" s="33">
        <v>0</v>
      </c>
      <c r="D112" s="33">
        <f>B112-C112</f>
        <v>13875000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62197000</v>
      </c>
      <c r="C113" s="33">
        <f>B113</f>
        <v>62197000</v>
      </c>
      <c r="D113" s="33">
        <f t="shared" ref="D113:D151" si="5">B113-C113</f>
        <v>0</v>
      </c>
      <c r="E113" t="s">
        <v>205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33155000</v>
      </c>
      <c r="C114" s="33">
        <f>50%*B114</f>
        <v>16577500</v>
      </c>
      <c r="D114" s="33">
        <f>B114-C114</f>
        <v>16577500</v>
      </c>
      <c r="E114" t="s">
        <v>205</v>
      </c>
      <c r="F114" s="52"/>
      <c r="G114" s="52"/>
      <c r="H114" s="52"/>
      <c r="I114" s="52">
        <f>I97/4</f>
        <v>59790000</v>
      </c>
      <c r="J114" s="45"/>
    </row>
    <row r="115" spans="1:10" ht="14.25" customHeight="1" x14ac:dyDescent="0.35">
      <c r="A115" s="53" t="s">
        <v>136</v>
      </c>
      <c r="B115" s="50">
        <v>5550000</v>
      </c>
      <c r="C115" s="33">
        <v>0</v>
      </c>
      <c r="D115" s="33">
        <f t="shared" si="5"/>
        <v>5550000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25641000</v>
      </c>
      <c r="C116" s="33">
        <v>0</v>
      </c>
      <c r="D116" s="33">
        <f t="shared" si="5"/>
        <v>25641000</v>
      </c>
      <c r="F116" s="47" t="s">
        <v>128</v>
      </c>
      <c r="G116" s="38"/>
      <c r="H116" s="38"/>
      <c r="I116" s="38">
        <f>I97</f>
        <v>239160000</v>
      </c>
      <c r="J116" s="45"/>
    </row>
    <row r="117" spans="1:10" ht="14.25" customHeight="1" x14ac:dyDescent="0.35">
      <c r="A117" s="54" t="s">
        <v>138</v>
      </c>
      <c r="B117" s="50">
        <v>205683000</v>
      </c>
      <c r="C117" s="33">
        <v>0</v>
      </c>
      <c r="D117" s="33">
        <f t="shared" si="5"/>
        <v>205683000</v>
      </c>
      <c r="F117" s="48" t="s">
        <v>208</v>
      </c>
      <c r="G117" s="38">
        <f>7/12*I114</f>
        <v>34877500</v>
      </c>
      <c r="H117" s="38">
        <f>G117</f>
        <v>34877500</v>
      </c>
      <c r="I117" s="38">
        <f>I116-G117</f>
        <v>204282500</v>
      </c>
      <c r="J117" s="45"/>
    </row>
    <row r="118" spans="1:10" ht="14.25" customHeight="1" x14ac:dyDescent="0.35">
      <c r="A118" s="53" t="s">
        <v>139</v>
      </c>
      <c r="B118" s="50">
        <v>102120000</v>
      </c>
      <c r="C118" s="33">
        <v>0</v>
      </c>
      <c r="D118" s="85">
        <f t="shared" si="5"/>
        <v>102120000</v>
      </c>
      <c r="F118" s="48">
        <v>2020</v>
      </c>
      <c r="G118" s="38">
        <f>I114</f>
        <v>59790000</v>
      </c>
      <c r="H118" s="38">
        <f>H117+G118</f>
        <v>94667500</v>
      </c>
      <c r="I118" s="38">
        <f t="shared" ref="I118:I121" si="6">I117-G118</f>
        <v>144492500</v>
      </c>
      <c r="J118" s="45"/>
    </row>
    <row r="119" spans="1:10" ht="14.25" customHeight="1" x14ac:dyDescent="0.35">
      <c r="A119" s="54" t="s">
        <v>140</v>
      </c>
      <c r="B119" s="50">
        <v>54612000</v>
      </c>
      <c r="C119" s="84">
        <f>B119-D119</f>
        <v>1686750</v>
      </c>
      <c r="D119" s="87">
        <f>I103</f>
        <v>52925250</v>
      </c>
      <c r="E119" t="s">
        <v>205</v>
      </c>
      <c r="F119" s="48">
        <v>2021</v>
      </c>
      <c r="G119" s="38">
        <f>G118</f>
        <v>59790000</v>
      </c>
      <c r="H119" s="38">
        <f t="shared" ref="H119:H121" si="7">H118+G119</f>
        <v>154457500</v>
      </c>
      <c r="I119" s="38">
        <f t="shared" si="6"/>
        <v>84702500</v>
      </c>
      <c r="J119" s="45"/>
    </row>
    <row r="120" spans="1:10" ht="14.25" customHeight="1" x14ac:dyDescent="0.35">
      <c r="A120" s="54" t="s">
        <v>141</v>
      </c>
      <c r="B120" s="50">
        <v>58275000</v>
      </c>
      <c r="C120" s="84">
        <f>D120-B120</f>
        <v>1515000</v>
      </c>
      <c r="D120" s="86">
        <f>I114</f>
        <v>59790000</v>
      </c>
      <c r="E120" t="s">
        <v>205</v>
      </c>
      <c r="F120" s="48">
        <v>2022</v>
      </c>
      <c r="G120" s="38">
        <f>G119</f>
        <v>59790000</v>
      </c>
      <c r="H120" s="38">
        <f t="shared" si="7"/>
        <v>214247500</v>
      </c>
      <c r="I120" s="38">
        <f t="shared" si="6"/>
        <v>24912500</v>
      </c>
      <c r="J120" s="45"/>
    </row>
    <row r="121" spans="1:10" ht="14.25" customHeight="1" x14ac:dyDescent="0.35">
      <c r="A121" s="54" t="s">
        <v>142</v>
      </c>
      <c r="B121" s="50">
        <v>47619000</v>
      </c>
      <c r="C121" s="84">
        <f>D121-B121</f>
        <v>4235979.1666666642</v>
      </c>
      <c r="D121" s="33">
        <f>G130</f>
        <v>51854979.166666664</v>
      </c>
      <c r="E121" t="s">
        <v>213</v>
      </c>
      <c r="F121" s="48" t="s">
        <v>209</v>
      </c>
      <c r="G121" s="38">
        <f>5/12*I114</f>
        <v>24912500</v>
      </c>
      <c r="H121" s="38">
        <f t="shared" si="7"/>
        <v>239160000</v>
      </c>
      <c r="I121" s="38">
        <f t="shared" si="6"/>
        <v>0</v>
      </c>
      <c r="J121" s="45"/>
    </row>
    <row r="122" spans="1:10" ht="14.25" customHeight="1" x14ac:dyDescent="0.35">
      <c r="A122" s="53" t="s">
        <v>143</v>
      </c>
      <c r="B122" s="50">
        <v>33078000</v>
      </c>
      <c r="C122" s="33">
        <f>4500000*50%</f>
        <v>2250000</v>
      </c>
      <c r="D122" s="33">
        <f t="shared" si="5"/>
        <v>30828000</v>
      </c>
      <c r="E122" t="s">
        <v>205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28860000</v>
      </c>
      <c r="C123" s="33">
        <v>0</v>
      </c>
      <c r="D123" s="33">
        <f t="shared" si="5"/>
        <v>28860000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47730000</v>
      </c>
      <c r="C124" s="33">
        <f>(5000000+12000000)*50%+26000000</f>
        <v>34500000</v>
      </c>
      <c r="D124" s="33">
        <f t="shared" si="5"/>
        <v>13230000</v>
      </c>
      <c r="E124" t="s">
        <v>205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13320000</v>
      </c>
      <c r="C125" s="33">
        <v>0</v>
      </c>
      <c r="D125" s="33">
        <f t="shared" si="5"/>
        <v>13320000</v>
      </c>
      <c r="F125" s="29"/>
      <c r="G125" s="41"/>
      <c r="H125" s="56"/>
      <c r="I125" s="43">
        <f>I98*50%</f>
        <v>177788500</v>
      </c>
      <c r="J125" s="44"/>
    </row>
    <row r="126" spans="1:10" ht="14.25" customHeight="1" x14ac:dyDescent="0.35">
      <c r="A126" s="53" t="s">
        <v>147</v>
      </c>
      <c r="B126" s="50">
        <v>3330000</v>
      </c>
      <c r="C126" s="33">
        <f>B126</f>
        <v>3330000</v>
      </c>
      <c r="D126" s="33">
        <f t="shared" si="5"/>
        <v>0</v>
      </c>
      <c r="E126" t="s">
        <v>205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16650000</v>
      </c>
      <c r="C127" s="33">
        <v>0</v>
      </c>
      <c r="D127" s="33">
        <f t="shared" si="5"/>
        <v>16650000</v>
      </c>
      <c r="F127" s="47" t="s">
        <v>128</v>
      </c>
      <c r="G127" s="38"/>
      <c r="H127" s="38"/>
      <c r="I127" s="38">
        <f>I98</f>
        <v>355577000</v>
      </c>
      <c r="J127" s="45"/>
    </row>
    <row r="128" spans="1:10" ht="14.25" customHeight="1" x14ac:dyDescent="0.35">
      <c r="A128" s="57" t="s">
        <v>149</v>
      </c>
      <c r="B128" s="58">
        <v>3330000</v>
      </c>
      <c r="C128" s="33">
        <f>B128</f>
        <v>3330000</v>
      </c>
      <c r="D128" s="33">
        <f t="shared" si="5"/>
        <v>0</v>
      </c>
      <c r="E128" t="s">
        <v>205</v>
      </c>
      <c r="F128" s="48" t="s">
        <v>210</v>
      </c>
      <c r="G128" s="38">
        <f>10/12*I125</f>
        <v>148157083.33333334</v>
      </c>
      <c r="H128" s="38">
        <f>G128</f>
        <v>148157083.33333334</v>
      </c>
      <c r="I128" s="38">
        <f>I127-G128</f>
        <v>207419916.66666666</v>
      </c>
      <c r="J128" s="45"/>
    </row>
    <row r="129" spans="1:10" ht="14.25" customHeight="1" x14ac:dyDescent="0.35">
      <c r="A129" s="57" t="s">
        <v>150</v>
      </c>
      <c r="B129" s="58">
        <v>148740000</v>
      </c>
      <c r="C129" s="33">
        <v>0</v>
      </c>
      <c r="D129" s="33">
        <f t="shared" si="5"/>
        <v>148740000</v>
      </c>
      <c r="F129" s="48">
        <v>2019</v>
      </c>
      <c r="G129" s="38">
        <f>50%*I128</f>
        <v>103709958.33333333</v>
      </c>
      <c r="H129" s="38">
        <f>H128+G129</f>
        <v>251867041.66666669</v>
      </c>
      <c r="I129" s="38">
        <f>I128-G129</f>
        <v>103709958.33333333</v>
      </c>
      <c r="J129" s="45"/>
    </row>
    <row r="130" spans="1:10" ht="14.25" customHeight="1" x14ac:dyDescent="0.35">
      <c r="A130" s="59" t="s">
        <v>151</v>
      </c>
      <c r="B130" s="58">
        <v>284937000</v>
      </c>
      <c r="C130" s="33">
        <f>B130</f>
        <v>284937000</v>
      </c>
      <c r="D130" s="33">
        <f t="shared" si="5"/>
        <v>0</v>
      </c>
      <c r="E130" t="s">
        <v>205</v>
      </c>
      <c r="F130" s="48">
        <v>2020</v>
      </c>
      <c r="G130" s="38">
        <f>50%*I129</f>
        <v>51854979.166666664</v>
      </c>
      <c r="H130" s="38">
        <f t="shared" ref="H130:H132" si="8">H129+G130</f>
        <v>303722020.83333337</v>
      </c>
      <c r="I130" s="38">
        <f>I129-G130</f>
        <v>51854979.166666664</v>
      </c>
      <c r="J130" s="45"/>
    </row>
    <row r="131" spans="1:10" ht="14.25" customHeight="1" x14ac:dyDescent="0.35">
      <c r="A131" s="59" t="s">
        <v>152</v>
      </c>
      <c r="B131" s="58">
        <v>3774000</v>
      </c>
      <c r="C131" s="33">
        <f>B131</f>
        <v>3774000</v>
      </c>
      <c r="D131" s="33">
        <f>B131-C131</f>
        <v>0</v>
      </c>
      <c r="E131" t="s">
        <v>205</v>
      </c>
      <c r="F131" s="48">
        <v>2021</v>
      </c>
      <c r="G131" s="38">
        <f>50%*I130</f>
        <v>25927489.583333332</v>
      </c>
      <c r="H131" s="38">
        <f t="shared" si="8"/>
        <v>329649510.41666669</v>
      </c>
      <c r="I131" s="38">
        <f>I130-G131</f>
        <v>25927489.583333332</v>
      </c>
      <c r="J131" s="45"/>
    </row>
    <row r="132" spans="1:10" ht="14.25" customHeight="1" x14ac:dyDescent="0.35">
      <c r="A132" s="59" t="s">
        <v>153</v>
      </c>
      <c r="B132" s="58">
        <v>158952000</v>
      </c>
      <c r="C132" s="33">
        <v>0</v>
      </c>
      <c r="D132" s="33">
        <f t="shared" si="5"/>
        <v>158952000</v>
      </c>
      <c r="F132" s="48" t="s">
        <v>211</v>
      </c>
      <c r="G132" s="38">
        <f>I131</f>
        <v>25927489.583333332</v>
      </c>
      <c r="H132" s="38">
        <f t="shared" si="8"/>
        <v>355577000</v>
      </c>
      <c r="I132" s="38">
        <f>I131-G132</f>
        <v>0</v>
      </c>
      <c r="J132" s="45"/>
    </row>
    <row r="133" spans="1:10" ht="14.25" customHeight="1" x14ac:dyDescent="0.35">
      <c r="A133" s="60" t="s">
        <v>154</v>
      </c>
      <c r="B133" s="61">
        <v>999000000</v>
      </c>
      <c r="C133" s="33">
        <v>0</v>
      </c>
      <c r="D133" s="33">
        <f>B133-C133</f>
        <v>999000000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72372000</v>
      </c>
      <c r="C134" s="33">
        <f>D134-B134</f>
        <v>156565500</v>
      </c>
      <c r="D134" s="33">
        <f>G137</f>
        <v>228937500</v>
      </c>
      <c r="E134" t="s">
        <v>213</v>
      </c>
      <c r="F134" s="55" t="s">
        <v>156</v>
      </c>
      <c r="G134" s="41"/>
      <c r="H134" s="56"/>
      <c r="I134" s="62">
        <f>25%*I99</f>
        <v>249750000</v>
      </c>
      <c r="J134" s="44"/>
    </row>
    <row r="135" spans="1:10" ht="14.25" customHeight="1" x14ac:dyDescent="0.35">
      <c r="A135" s="60" t="s">
        <v>157</v>
      </c>
      <c r="B135" s="61">
        <v>99511000</v>
      </c>
      <c r="C135" s="33">
        <f>B135</f>
        <v>99511000</v>
      </c>
      <c r="D135" s="33">
        <f t="shared" si="5"/>
        <v>0</v>
      </c>
      <c r="E135" t="s">
        <v>205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23698000</v>
      </c>
      <c r="C136" s="33">
        <f>50%*B136</f>
        <v>11849000</v>
      </c>
      <c r="D136" s="33">
        <f>B136-C136</f>
        <v>11849000</v>
      </c>
      <c r="E136" t="s">
        <v>205</v>
      </c>
      <c r="F136" s="47" t="s">
        <v>128</v>
      </c>
      <c r="G136" s="47"/>
      <c r="H136" s="47"/>
      <c r="I136" s="47">
        <f>I99</f>
        <v>999000000</v>
      </c>
      <c r="J136" s="45"/>
    </row>
    <row r="137" spans="1:10" ht="14.25" customHeight="1" x14ac:dyDescent="0.35">
      <c r="A137" s="64" t="s">
        <v>159</v>
      </c>
      <c r="B137" s="50">
        <v>991073900</v>
      </c>
      <c r="C137" s="33">
        <v>15600000</v>
      </c>
      <c r="D137" s="33">
        <f t="shared" si="5"/>
        <v>975473900</v>
      </c>
      <c r="E137" t="s">
        <v>205</v>
      </c>
      <c r="F137" s="48" t="s">
        <v>212</v>
      </c>
      <c r="G137" s="38">
        <f>11/12*I134</f>
        <v>228937500</v>
      </c>
      <c r="H137" s="38">
        <f>G137</f>
        <v>228937500</v>
      </c>
      <c r="I137" s="38">
        <f>I136-G137</f>
        <v>770062500</v>
      </c>
      <c r="J137" s="45"/>
    </row>
    <row r="138" spans="1:10" ht="14.25" customHeight="1" x14ac:dyDescent="0.35">
      <c r="A138" s="32" t="s">
        <v>160</v>
      </c>
      <c r="B138" s="50">
        <v>57094800</v>
      </c>
      <c r="C138" s="33">
        <v>0</v>
      </c>
      <c r="D138" s="33">
        <f t="shared" si="5"/>
        <v>57094800</v>
      </c>
      <c r="F138" s="48">
        <v>2021</v>
      </c>
      <c r="G138" s="38">
        <f>50%*I137</f>
        <v>385031250</v>
      </c>
      <c r="H138" s="38">
        <f>H137+G138</f>
        <v>613968750</v>
      </c>
      <c r="I138" s="38">
        <f>I137-G138</f>
        <v>385031250</v>
      </c>
      <c r="J138" s="45"/>
    </row>
    <row r="139" spans="1:10" ht="14.25" customHeight="1" x14ac:dyDescent="0.35">
      <c r="A139" s="32" t="s">
        <v>161</v>
      </c>
      <c r="B139" s="50">
        <v>82516700</v>
      </c>
      <c r="C139" s="33">
        <f>B139</f>
        <v>82516700</v>
      </c>
      <c r="D139" s="33">
        <f t="shared" si="5"/>
        <v>0</v>
      </c>
      <c r="E139" t="s">
        <v>205</v>
      </c>
      <c r="F139" s="48">
        <v>2022</v>
      </c>
      <c r="G139" s="38">
        <f>50%*I138</f>
        <v>192515625</v>
      </c>
      <c r="H139" s="38">
        <f t="shared" ref="H139:H145" si="9">H138+G139</f>
        <v>806484375</v>
      </c>
      <c r="I139" s="38">
        <f>I138-G139</f>
        <v>192515625</v>
      </c>
      <c r="J139" s="45"/>
    </row>
    <row r="140" spans="1:10" ht="14.25" customHeight="1" x14ac:dyDescent="0.35">
      <c r="A140" s="32" t="s">
        <v>162</v>
      </c>
      <c r="B140" s="50">
        <v>130525100</v>
      </c>
      <c r="C140" s="33">
        <v>0</v>
      </c>
      <c r="D140" s="33">
        <f t="shared" si="5"/>
        <v>130525100</v>
      </c>
      <c r="F140" s="48">
        <v>2023</v>
      </c>
      <c r="G140" s="38">
        <f>50%*I139</f>
        <v>96257812.5</v>
      </c>
      <c r="H140" s="38">
        <f t="shared" si="9"/>
        <v>902742187.5</v>
      </c>
      <c r="I140" s="38">
        <f>I139-G140</f>
        <v>96257812.5</v>
      </c>
      <c r="J140" s="45"/>
    </row>
    <row r="141" spans="1:10" ht="14.25" customHeight="1" x14ac:dyDescent="0.35">
      <c r="A141" s="64" t="s">
        <v>163</v>
      </c>
      <c r="B141" s="50">
        <v>32437100</v>
      </c>
      <c r="C141" s="33">
        <f>28500000*50%</f>
        <v>14250000</v>
      </c>
      <c r="D141" s="33">
        <f t="shared" si="5"/>
        <v>18187100</v>
      </c>
      <c r="E141" t="s">
        <v>205</v>
      </c>
      <c r="F141" s="48">
        <v>2024</v>
      </c>
      <c r="G141" s="38">
        <f>50%*I140</f>
        <v>48128906.25</v>
      </c>
      <c r="H141" s="38">
        <f t="shared" si="9"/>
        <v>950871093.75</v>
      </c>
      <c r="I141" s="38">
        <f>I140-G141</f>
        <v>48128906.25</v>
      </c>
      <c r="J141" s="45"/>
    </row>
    <row r="142" spans="1:10" ht="14.25" customHeight="1" x14ac:dyDescent="0.35">
      <c r="A142" s="64" t="s">
        <v>164</v>
      </c>
      <c r="B142" s="50">
        <v>546779000</v>
      </c>
      <c r="C142" s="33">
        <f>B142*50%</f>
        <v>273389500</v>
      </c>
      <c r="D142" s="33">
        <f t="shared" si="5"/>
        <v>273389500</v>
      </c>
      <c r="E142" t="s">
        <v>205</v>
      </c>
      <c r="F142" s="48">
        <v>2025</v>
      </c>
      <c r="G142" s="38">
        <f>50%*I141</f>
        <v>24064453.125</v>
      </c>
      <c r="H142" s="38">
        <f t="shared" si="9"/>
        <v>974935546.875</v>
      </c>
      <c r="I142" s="38">
        <f>I141-G142</f>
        <v>24064453.125</v>
      </c>
      <c r="J142" s="45"/>
    </row>
    <row r="143" spans="1:10" ht="14.25" customHeight="1" x14ac:dyDescent="0.35">
      <c r="A143" s="32" t="s">
        <v>165</v>
      </c>
      <c r="B143" s="50">
        <v>29812800</v>
      </c>
      <c r="C143" s="33">
        <v>0</v>
      </c>
      <c r="D143" s="33">
        <f t="shared" si="5"/>
        <v>29812800</v>
      </c>
      <c r="F143" s="48">
        <v>2026</v>
      </c>
      <c r="G143" s="38">
        <f>50%*I142</f>
        <v>12032226.5625</v>
      </c>
      <c r="H143" s="38">
        <f t="shared" si="9"/>
        <v>986967773.4375</v>
      </c>
      <c r="I143" s="38">
        <f>I142-G143</f>
        <v>12032226.5625</v>
      </c>
      <c r="J143" s="45"/>
    </row>
    <row r="144" spans="1:10" ht="14.25" customHeight="1" x14ac:dyDescent="0.35">
      <c r="A144" s="64" t="s">
        <v>166</v>
      </c>
      <c r="B144" s="50">
        <v>96856100</v>
      </c>
      <c r="C144" s="33">
        <f>2900000*50%</f>
        <v>1450000</v>
      </c>
      <c r="D144" s="33">
        <f t="shared" si="5"/>
        <v>95406100</v>
      </c>
      <c r="E144" t="s">
        <v>205</v>
      </c>
      <c r="F144" s="48">
        <v>2027</v>
      </c>
      <c r="G144" s="38">
        <f>50%*I143</f>
        <v>6016113.28125</v>
      </c>
      <c r="H144" s="38">
        <f t="shared" si="9"/>
        <v>992983886.71875</v>
      </c>
      <c r="I144" s="38">
        <f>I143-G144</f>
        <v>6016113.28125</v>
      </c>
      <c r="J144" s="45"/>
    </row>
    <row r="145" spans="1:10" ht="14.25" customHeight="1" x14ac:dyDescent="0.35">
      <c r="A145" s="32" t="s">
        <v>167</v>
      </c>
      <c r="B145" s="50">
        <v>10388900</v>
      </c>
      <c r="C145" s="33">
        <v>0</v>
      </c>
      <c r="D145" s="33">
        <f t="shared" si="5"/>
        <v>10388900</v>
      </c>
      <c r="F145" s="48">
        <v>2028</v>
      </c>
      <c r="G145" s="38">
        <f>I144</f>
        <v>6016113.28125</v>
      </c>
      <c r="H145" s="38">
        <f t="shared" si="9"/>
        <v>999000000</v>
      </c>
      <c r="I145" s="47">
        <f>I144-G145</f>
        <v>0</v>
      </c>
      <c r="J145" s="45"/>
    </row>
    <row r="146" spans="1:10" ht="14.25" customHeight="1" x14ac:dyDescent="0.35">
      <c r="A146" s="64" t="s">
        <v>168</v>
      </c>
      <c r="B146" s="50">
        <v>71409050</v>
      </c>
      <c r="C146" s="33">
        <v>7300000</v>
      </c>
      <c r="D146" s="33">
        <f t="shared" si="5"/>
        <v>64109050</v>
      </c>
      <c r="E146" t="s">
        <v>205</v>
      </c>
    </row>
    <row r="147" spans="1:10" ht="14.25" customHeight="1" x14ac:dyDescent="0.35">
      <c r="A147" s="64" t="s">
        <v>169</v>
      </c>
      <c r="B147" s="50">
        <v>18981000</v>
      </c>
      <c r="C147" s="33">
        <v>0</v>
      </c>
      <c r="D147" s="33">
        <f t="shared" si="5"/>
        <v>18981000</v>
      </c>
    </row>
    <row r="148" spans="1:10" ht="14.25" customHeight="1" x14ac:dyDescent="0.35">
      <c r="A148" s="32" t="s">
        <v>170</v>
      </c>
      <c r="B148" s="65">
        <v>15058000</v>
      </c>
      <c r="C148" s="33">
        <v>0</v>
      </c>
      <c r="D148" s="33">
        <f t="shared" si="5"/>
        <v>15058000</v>
      </c>
    </row>
    <row r="149" spans="1:10" ht="14.25" customHeight="1" x14ac:dyDescent="0.35">
      <c r="A149" s="64" t="s">
        <v>171</v>
      </c>
      <c r="B149" s="50">
        <v>6327000</v>
      </c>
      <c r="C149" s="33">
        <f>B149</f>
        <v>6327000</v>
      </c>
      <c r="D149" s="33">
        <f t="shared" si="5"/>
        <v>0</v>
      </c>
      <c r="E149" t="s">
        <v>205</v>
      </c>
    </row>
    <row r="150" spans="1:10" ht="14.25" customHeight="1" x14ac:dyDescent="0.35">
      <c r="A150" s="32" t="s">
        <v>172</v>
      </c>
      <c r="B150" s="50">
        <v>35431000</v>
      </c>
      <c r="C150" s="33">
        <v>0</v>
      </c>
      <c r="D150" s="33">
        <f t="shared" si="5"/>
        <v>35431000</v>
      </c>
    </row>
    <row r="151" spans="1:10" ht="14.25" customHeight="1" x14ac:dyDescent="0.35">
      <c r="A151" s="32" t="s">
        <v>173</v>
      </c>
      <c r="B151" s="50">
        <v>93336000</v>
      </c>
      <c r="C151" s="33">
        <f>B151</f>
        <v>93336000</v>
      </c>
      <c r="D151" s="33">
        <f t="shared" si="5"/>
        <v>0</v>
      </c>
      <c r="E151" t="s">
        <v>205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66">
        <f>SUM(B110:B150)</f>
        <v>4919094450</v>
      </c>
      <c r="C153" s="32"/>
      <c r="D153" s="38">
        <f>SUM(D110:D151)</f>
        <v>3908240479.166667</v>
      </c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f>B106-B153</f>
        <v>407150770.00000095</v>
      </c>
      <c r="C155" s="33"/>
      <c r="D155" s="33">
        <f>D106-D153</f>
        <v>1418004740.833334</v>
      </c>
    </row>
    <row r="156" spans="1:10" ht="14.25" customHeight="1" x14ac:dyDescent="0.35">
      <c r="A156" s="32" t="s">
        <v>45</v>
      </c>
      <c r="B156" s="88">
        <f>C164</f>
        <v>70787692.500000238</v>
      </c>
      <c r="C156" s="32"/>
      <c r="D156" s="33">
        <f>C173</f>
        <v>369401422.25000018</v>
      </c>
    </row>
    <row r="157" spans="1:10" ht="14.25" customHeight="1" x14ac:dyDescent="0.35">
      <c r="A157" s="32" t="s">
        <v>46</v>
      </c>
      <c r="B157" s="66">
        <f>B155-B156</f>
        <v>336363077.50000072</v>
      </c>
      <c r="C157" s="32"/>
      <c r="D157" s="33">
        <f>D155-D156</f>
        <v>1048603318.5833337</v>
      </c>
    </row>
    <row r="158" spans="1:10" ht="14.25" customHeight="1" x14ac:dyDescent="0.35"/>
    <row r="159" spans="1:10" ht="14.25" customHeight="1" x14ac:dyDescent="0.35"/>
    <row r="160" spans="1:10" ht="14.25" customHeight="1" x14ac:dyDescent="0.35">
      <c r="B160" s="89" t="s">
        <v>214</v>
      </c>
      <c r="C160" s="90">
        <f>B155-54000000</f>
        <v>353150770.00000095</v>
      </c>
    </row>
    <row r="161" spans="2:3" ht="14.25" customHeight="1" x14ac:dyDescent="0.35">
      <c r="B161" s="91">
        <v>0.05</v>
      </c>
      <c r="C161" s="96">
        <f>(60000000-0)*5%</f>
        <v>3000000</v>
      </c>
    </row>
    <row r="162" spans="2:3" ht="14.25" customHeight="1" x14ac:dyDescent="0.35">
      <c r="B162" s="91">
        <v>0.15</v>
      </c>
      <c r="C162" s="96">
        <f>(250000000-60000000)*15%</f>
        <v>28500000</v>
      </c>
    </row>
    <row r="163" spans="2:3" ht="14.25" customHeight="1" x14ac:dyDescent="0.35">
      <c r="B163" s="91">
        <v>0.25</v>
      </c>
      <c r="C163" s="96">
        <f>(B155-250000000)*25%</f>
        <v>39287692.500000238</v>
      </c>
    </row>
    <row r="164" spans="2:3" ht="14.25" customHeight="1" x14ac:dyDescent="0.35">
      <c r="B164" s="89" t="s">
        <v>215</v>
      </c>
      <c r="C164" s="96">
        <f>SUM(C161:C163)</f>
        <v>70787692.500000238</v>
      </c>
    </row>
    <row r="165" spans="2:3" ht="14.25" customHeight="1" x14ac:dyDescent="0.35"/>
    <row r="166" spans="2:3" ht="14.25" customHeight="1" x14ac:dyDescent="0.35"/>
    <row r="167" spans="2:3" ht="14.25" customHeight="1" x14ac:dyDescent="0.35"/>
    <row r="168" spans="2:3" ht="14.25" customHeight="1" x14ac:dyDescent="0.35">
      <c r="B168" s="92" t="s">
        <v>214</v>
      </c>
      <c r="C168" s="93">
        <f>D155-54000000</f>
        <v>1364004740.833334</v>
      </c>
    </row>
    <row r="169" spans="2:3" ht="14.25" customHeight="1" x14ac:dyDescent="0.35">
      <c r="B169" s="94">
        <v>0.05</v>
      </c>
      <c r="C169" s="97">
        <f>(60000000-0)*5%</f>
        <v>3000000</v>
      </c>
    </row>
    <row r="170" spans="2:3" ht="14.25" customHeight="1" x14ac:dyDescent="0.35">
      <c r="B170" s="94">
        <v>0.15</v>
      </c>
      <c r="C170" s="97">
        <f>(250000000-60000000)*15%</f>
        <v>28500000</v>
      </c>
    </row>
    <row r="171" spans="2:3" ht="14.25" customHeight="1" x14ac:dyDescent="0.35">
      <c r="B171" s="94">
        <v>0.25</v>
      </c>
      <c r="C171" s="97">
        <f>(500000000-250000000)*25%</f>
        <v>62500000</v>
      </c>
    </row>
    <row r="172" spans="2:3" ht="14.25" customHeight="1" x14ac:dyDescent="0.35">
      <c r="B172" s="94">
        <v>0.3</v>
      </c>
      <c r="C172" s="95">
        <f>(D155-500000000)*30%</f>
        <v>275401422.25000018</v>
      </c>
    </row>
    <row r="173" spans="2:3" ht="14.25" customHeight="1" x14ac:dyDescent="0.35">
      <c r="B173" s="92" t="s">
        <v>215</v>
      </c>
      <c r="C173" s="98">
        <f>SUM(C169:C172)</f>
        <v>369401422.25000018</v>
      </c>
    </row>
    <row r="174" spans="2:3" ht="14.25" customHeight="1" x14ac:dyDescent="0.35"/>
    <row r="175" spans="2:3" ht="14.25" customHeight="1" x14ac:dyDescent="0.35"/>
    <row r="176" spans="2:3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topLeftCell="A23"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295456000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309153000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142920000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10944000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10523000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44464000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11155000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4157000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9688000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39200000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3767000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1120000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7000000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7840000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2240000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1120000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213608000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241315000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358780000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1008000000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125193000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125440000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14000000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62758000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33454000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5600000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25872000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207536000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103040000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55104000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58800000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48048000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33376000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29120000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48160000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13440000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3360000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16800000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3360000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150080000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287504000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3808000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160384000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1008000000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73024000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100408000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23912000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1000002500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57609200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83260100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131701000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32729400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551705000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30081400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97728700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10482500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72052370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19152000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15193000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6384000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35750000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94176000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298094000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311913000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144197000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11042000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10617000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44861000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11254000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4194000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9774000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39550000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3801000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1130000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7062000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7910000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2260000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1130000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215515000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243469000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361984000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1017000000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126311000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126560000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14125000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63318000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33753000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5650000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26103000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209389000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103960000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55596000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59325000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48477000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33674000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29380000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48590000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13560000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3390000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16950000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3390000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151420000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290071000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3842000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161816000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1017000000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73676000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101304000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24125000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1008931100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58123500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84003500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132876900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33021600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556631000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30349900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98601300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10576100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72695700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19323000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15329000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6441000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36069000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95017000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300732000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314674000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145473000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11140000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10711000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45258000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11354000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4231000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9861000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39900000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3834000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1140000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7125000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7980000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2280000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1140000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217423000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245624000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365187000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1026000000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127429000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127680000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14250000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63878000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34051000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5700000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26334000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211242000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104880000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56088000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59850000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48906000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33972000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29640000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49020000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13680000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3420000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17100000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3420000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152760000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292638000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3876000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163248000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1026000000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74328000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102201000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24339000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1017859700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58637900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84746900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134052800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33313800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561557000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30618500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99473800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10669700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73339020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19494000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15465000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6498000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36388000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95858000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303370000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317434000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146749000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11237000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10805000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45655000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11454000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4268000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9947000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40250000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3868000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1150000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7187000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8050000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2300000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1150000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219330000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247779000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368391000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1035000000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128547000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128800000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14375000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64439000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34350000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5750000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26565000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213095000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105800000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56580000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60375000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49335000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34270000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29900000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49450000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13800000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3450000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17250000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3450000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154100000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295205000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3910000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164680000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1035000000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74980000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103097000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24552000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1026788300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59152300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85490300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135228700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33606100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566483000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30887100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100346400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10763300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73982350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19665000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15600000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6555000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36708000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96699000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306008000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320194000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148025000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11335000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10899000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46052000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11553000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4305000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10034000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40600000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3902000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1160000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7250000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8120000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2320000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1160000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221237000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249933000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371594000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1044000000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129664000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129920000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14500000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64999000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34649000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5800000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26796000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214948000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106720000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57072000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60900000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49764000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34568000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30160000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49880000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13920000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3480000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17400000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3480000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155440000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297772000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3944000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166112000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1044000000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75632000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103994000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24766000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1035716900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59666600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86233700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136404600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33898300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571409000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31155700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101219000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10856900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74625670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19836000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15736000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6612000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37027000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97540000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308646000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322955000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149301000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11433000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10993000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46449000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11653000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4343000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10120000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40950000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3935000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1170000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7312000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8190000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2340000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1170000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223144000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252088000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374797000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1053000000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130782000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131040000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14625000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65559000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34947000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5850000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27027000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216801000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107640000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57564000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61425000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50193000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34866000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30420000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50310000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14040000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3510000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17550000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3510000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156780000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300339000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3978000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167544000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1053000000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76284000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104890000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24979000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1044645400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60181000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86977000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137580500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34190500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576334000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31424300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102091600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10950400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75269000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20007000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15872000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6669000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37346000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98381000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311284000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325715000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150577000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11530000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11087000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46846000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11752000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4380000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10207000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41300000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3969000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1180000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7375000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8260000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2360000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1180000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225051000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254242000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378001000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1062000000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131900000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132160000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14750000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66120000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35246000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5900000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27258000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218654000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108560000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58056000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61950000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50622000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35164000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30680000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50740000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14160000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3540000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17700000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3540000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158120000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302906000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4012000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168976000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1062000000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76936000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105787000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25193000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1053574000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60695400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87720400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138756400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34482700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581260000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31692900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102964200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11044000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75912320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20178000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16007000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6726000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37665000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99222000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313922000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328475000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151853000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11628000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11181000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47243000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11852000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4417000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10293000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41650000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4003000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1190000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7437000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8330000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2380000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1190000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226959000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256397000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381204000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1071000000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133018000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133280000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14875000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66680000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35545000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5950000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27489000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220507000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109480000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58548000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62475000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51051000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35462000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30940000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51170000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14280000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3570000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17850000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3570000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159460000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305473000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4046000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170408000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1071000000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77588000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106683000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25406000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1062502600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61209700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88463800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139932300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34775000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586186000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31961400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103836700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11137600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76555650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20349000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16143000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6783000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37984000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100063000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316560000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331236000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153129000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11726000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11275000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47640000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11952000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4454000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10380000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42000000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4036000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1200000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7500000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8400000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2400000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1200000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228866000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258552000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384408000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1080000000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134136000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134400000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15000000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67240000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35844000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6000000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27720000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222360000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110400000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59040000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63000000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51480000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35760000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31200000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51600000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14400000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3600000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18000000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3600000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160800000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308040000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4080000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171840000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1080000000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78240000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107580000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25620000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1071431200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61724100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89207200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141108200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35067200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591112000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32230000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104709300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11231200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77198970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20520000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16279000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6840000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38304000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100903000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319198000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333996000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154405000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11824000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11369000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48037000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12051000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4491000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10466000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42350000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4070000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1210000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7562000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8470000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2420000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1210000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230773000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260706000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387611000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1089000000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135253000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135520000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15125000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67801000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36142000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6050000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27951000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224213000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111320000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59532000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63525000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51909000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36058000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31460000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52030000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14520000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3630000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18150000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3630000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162140000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310607000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4114000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173272000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1089000000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78892000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108476000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25833000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1080359800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62238500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89950600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142284100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35359400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596038000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32498600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105581900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11324800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77842300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20691000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16414000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6897000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38623000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101744000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321836000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336756000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155681000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11921000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11463000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48434000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12151000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4528000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10553000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42700000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4104000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1220000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7625000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8540000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2440000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1220000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232680000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262861000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390814000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1098000000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136371000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136640000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15250000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68361000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36441000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6100000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28182000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226066000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112240000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60024000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64050000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52338000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36356000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31720000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52460000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14640000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3660000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18300000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3660000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163480000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313174000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4148000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174704000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1098000000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79544000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109373000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26047000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1089288400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62752800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90694000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143460000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35651600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600964000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32767200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106454500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11418400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78485620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20862000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16550000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6954000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38942000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102585000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324474000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339516000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156957000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12019000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11557000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48831000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12250000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4565000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10639000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43050000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4137000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1230000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7687000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8610000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2460000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1230000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234588000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265015000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394018000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1107000000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137489000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137760000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15375000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68921000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36740000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6150000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28413000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227919000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113160000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60516000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64575000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52767000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36654000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31980000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52890000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14760000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3690000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18450000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3690000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164820000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315741000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4182000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176136000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1107000000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80196000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110269000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26260000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1098217000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63267200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91437400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144635900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35943900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605890000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33035800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107327000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11512000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79128950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21033000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16686000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7011000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39261000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103426000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327112000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342277000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158233000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12117000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11651000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49228000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12350000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4602000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10726000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43400000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4171000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1240000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7750000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8680000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2480000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1240000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236495000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267170000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397221000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1116000000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138607000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138880000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15500000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69482000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37038000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6200000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28644000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229772000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114080000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61008000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65100000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53196000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36952000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32240000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53320000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14880000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3720000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18600000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3720000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166160000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318308000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4216000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177568000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1116000000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80848000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111166000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26474000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1107145600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63781600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92180800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145811800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36236100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610816000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33304400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108199600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11605600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79772270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21204000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16821000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7068000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39580000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104267000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329750000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345037000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159510000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12215000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11745000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49625000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12450000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4640000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10812000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43750000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4205000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1250000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7812000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8750000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2500000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1250000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238402000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269325000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400425000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1125000000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139725000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140000000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15625000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70042000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37337000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6250000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28875000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231625000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115000000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61500000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65625000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53625000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37250000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32500000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53750000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15000000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3750000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18750000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3750000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167500000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320875000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4250000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179000000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1125000000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81500000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112062000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26687000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1116074200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64296000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92924200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146987700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36528300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615742000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33573000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109072200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11699200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80415600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21375000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16957000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7125000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39900000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105108000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332388000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347797000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160786000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12312000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11838000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50022000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12549000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4677000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10899000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44100000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4238000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1260000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7875000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8820000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2520000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1260000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240309000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271479000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403628000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1134000000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140842000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141120000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15750000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70602000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37636000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6300000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29106000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233478000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115920000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61992000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66150000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54054000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37548000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32760000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54180000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15120000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3780000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18900000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3780000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168840000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323442000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4284000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180432000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1134000000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82152000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112959000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26901000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1125002800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64810300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93667600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148163600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36820600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620668000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33841500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109944800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11792800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81058920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21546000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17093000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7182000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40219000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105949000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335026000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350558000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162062000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12410000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11932000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50419000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12649000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4714000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10985000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44450000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4272000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1270000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7937000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8890000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2540000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1270000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242216000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273634000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406831000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1143000000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141960000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142240000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15875000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71163000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37934000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6350000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29337000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235331000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116840000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62484000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66675000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54483000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37846000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33020000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54610000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15240000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3810000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19050000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3810000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170180000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326009000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4318000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181864000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1143000000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82804000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113855000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27114000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1133931400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65324700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94411000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149339500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37112800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625594000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34110100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110817400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11886400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81702240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21717000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17228000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7239000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40538000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106789000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337664000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353318000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163338000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12508000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12026000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50816000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12748000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4751000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11072000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44800000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4305000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1280000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8000000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8960000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2560000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1280000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244124000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275788000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410035000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1152000000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143078000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143360000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16000000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71723000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38233000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6400000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29568000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237184000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117760000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62976000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67200000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54912000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38144000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33280000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55040000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15360000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3840000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19200000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3840000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171520000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328576000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4352000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183296000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1152000000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83456000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114752000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27328000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1142860000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65839100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95154400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150515400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37405000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630520000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34378700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111689900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11980000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82345570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21888000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17364000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7296000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40857000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107630000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340302000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356078000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164614000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12605000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12120000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51213000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12848000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4788000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11158000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45150000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4339000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1290000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8062000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9030000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2580000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1290000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246031000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277943000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413238000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1161000000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144196000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144480000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16125000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72283000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38532000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6450000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29799000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239037000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118680000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63468000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67725000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55341000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38442000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33540000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55470000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15480000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3870000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19350000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3870000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172860000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331143000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4386000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184728000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1161000000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84108000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115648000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27541000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1151788600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66353400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95897800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151691300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37697200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635446000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34647300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112562500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12073600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82988890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22059000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17500000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7353000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41176000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108471000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342940000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358839000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165890000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12703000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12214000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51610000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12948000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4825000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11245000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45500000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4373000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1300000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8125000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9100000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2600000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1300000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247938000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280098000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416442000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1170000000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145314000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145600000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16250000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72844000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38831000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6500000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30030000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240890000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119600000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63960000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68250000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55770000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38740000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33800000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55900000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15600000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3900000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19500000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3900000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174200000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333710000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4420000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186160000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1170000000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84760000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116545000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27755000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1160717200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66867800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96641200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152867200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37989500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640372000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34915900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113435100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12167200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83632220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22230000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17635000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7410000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41496000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109312000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345578000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361599000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167166000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12801000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12308000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52007000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13047000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4862000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11331000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45850000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4406000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1310000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8187000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9170000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2620000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1310000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249845000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282252000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419645000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1179000000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146431000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146720000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16375000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73404000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39129000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6550000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30261000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242743000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120520000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64452000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68775000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56199000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39038000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34060000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56330000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15720000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3930000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19650000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3930000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175540000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336277000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4454000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187592000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1179000000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85412000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117441000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27968000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1169645800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67382200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97384600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154043100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38281700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645298000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35184500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114307700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12260800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84275540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22401000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17771000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7467000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41815000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110153000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348216000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364359000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168442000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12899000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12402000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52404000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13147000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4899000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11418000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46200000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4440000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1320000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8250000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9240000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2640000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1320000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251753000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284407000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422848000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1188000000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147549000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147840000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16500000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73964000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39428000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6600000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30492000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244596000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121440000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64944000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69300000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56628000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39336000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34320000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56760000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15840000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3960000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19800000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3960000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176880000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338844000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4488000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189024000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1188000000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86064000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118338000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28182000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1178574400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67896500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98128000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155219000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38573900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650224000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35453000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115180200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12354400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84918870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22572000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17907000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7524000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42134000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110994000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350854000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367119000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169718000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12996000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12496000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52801000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13246000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4936000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11504000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46550000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4474000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1330000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8312000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9310000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2660000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1330000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253660000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286561000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426052000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1197000000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148667000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148960000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16625000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74525000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39727000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6650000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30723000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246449000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122360000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65436000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69825000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57057000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39634000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34580000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57190000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15960000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3990000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19950000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3990000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178220000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341411000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4522000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190456000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1197000000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86716000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119234000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28395000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1187503000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68410900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98871400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156394900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38866100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655150000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35721600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116052800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12448000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85562190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22743000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18042000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7581000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42453000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111835000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353492000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369880000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170994000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13094000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12590000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53198000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13346000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4974000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11591000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46900000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4507000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1340000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8375000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9380000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2680000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1340000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255567000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288716000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429255000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1206000000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149785000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150080000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16750000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75085000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40025000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6700000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30954000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248302000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123280000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65928000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70350000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57486000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39932000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34840000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57620000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16080000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4020000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20100000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4020000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179560000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343978000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4556000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191888000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1206000000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87368000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120131000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28609000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1196431500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68925300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99614700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157570800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39158400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660075000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35990200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116925400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12541500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86205520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22914000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18178000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7638000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42772000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112676000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000"/>
  <sheetViews>
    <sheetView workbookViewId="0"/>
  </sheetViews>
  <sheetFormatPr defaultColWidth="14.453125" defaultRowHeight="15" customHeight="1" x14ac:dyDescent="0.35"/>
  <cols>
    <col min="1" max="1" width="47.26953125" customWidth="1"/>
    <col min="2" max="2" width="28.54296875" customWidth="1"/>
    <col min="3" max="3" width="21" customWidth="1"/>
    <col min="4" max="4" width="23.81640625" customWidth="1"/>
    <col min="5" max="5" width="18" customWidth="1"/>
    <col min="6" max="6" width="16.81640625" customWidth="1"/>
    <col min="7" max="7" width="21.26953125" customWidth="1"/>
    <col min="8" max="8" width="22.1796875" customWidth="1"/>
    <col min="9" max="9" width="22.81640625" customWidth="1"/>
    <col min="10" max="10" width="25" customWidth="1"/>
    <col min="11" max="26" width="8.7265625" customWidth="1"/>
  </cols>
  <sheetData>
    <row r="1" spans="1:5" ht="14.25" customHeight="1" x14ac:dyDescent="0.35">
      <c r="A1" s="7" t="s">
        <v>4</v>
      </c>
    </row>
    <row r="2" spans="1:5" ht="14.25" customHeight="1" x14ac:dyDescent="0.35"/>
    <row r="3" spans="1:5" ht="14.25" customHeight="1" x14ac:dyDescent="0.35">
      <c r="A3" s="8" t="s">
        <v>5</v>
      </c>
    </row>
    <row r="4" spans="1:5" ht="14.25" customHeight="1" x14ac:dyDescent="0.35">
      <c r="A4" s="8" t="s">
        <v>6</v>
      </c>
    </row>
    <row r="5" spans="1:5" ht="14.25" customHeight="1" x14ac:dyDescent="0.35">
      <c r="A5" s="8" t="s">
        <v>174</v>
      </c>
    </row>
    <row r="6" spans="1:5" ht="14.25" customHeight="1" x14ac:dyDescent="0.35">
      <c r="A6" s="8" t="s">
        <v>8</v>
      </c>
    </row>
    <row r="7" spans="1:5" ht="14.25" customHeight="1" x14ac:dyDescent="0.35">
      <c r="A7" s="8" t="s">
        <v>9</v>
      </c>
    </row>
    <row r="8" spans="1:5" ht="14.25" customHeight="1" x14ac:dyDescent="0.35">
      <c r="A8" s="8" t="s">
        <v>10</v>
      </c>
      <c r="B8" s="10"/>
      <c r="C8" s="11"/>
      <c r="D8" s="11"/>
      <c r="E8" s="11"/>
    </row>
    <row r="9" spans="1:5" ht="14.25" customHeight="1" x14ac:dyDescent="0.35">
      <c r="A9" s="8" t="s">
        <v>11</v>
      </c>
      <c r="B9" s="10"/>
      <c r="C9" s="11"/>
      <c r="D9" s="11"/>
      <c r="E9" s="11"/>
    </row>
    <row r="10" spans="1:5" ht="14.25" customHeight="1" x14ac:dyDescent="0.35">
      <c r="B10" s="10"/>
      <c r="C10" s="11"/>
      <c r="D10" s="11"/>
      <c r="E10" s="11"/>
    </row>
    <row r="11" spans="1:5" ht="14.25" customHeight="1" x14ac:dyDescent="0.35">
      <c r="A11" s="81" t="s">
        <v>12</v>
      </c>
      <c r="B11" s="82"/>
      <c r="C11" s="82"/>
      <c r="D11" s="82"/>
      <c r="E11" s="82"/>
    </row>
    <row r="12" spans="1:5" ht="14.25" customHeight="1" x14ac:dyDescent="0.35">
      <c r="A12" s="81" t="s">
        <v>13</v>
      </c>
      <c r="B12" s="82"/>
      <c r="C12" s="82"/>
      <c r="D12" s="82"/>
      <c r="E12" s="82"/>
    </row>
    <row r="13" spans="1:5" ht="14.25" customHeight="1" x14ac:dyDescent="0.35">
      <c r="A13" s="83">
        <v>43800</v>
      </c>
      <c r="B13" s="82"/>
      <c r="C13" s="82"/>
      <c r="D13" s="82"/>
      <c r="E13" s="82"/>
    </row>
    <row r="14" spans="1:5" ht="14.25" customHeight="1" x14ac:dyDescent="0.35">
      <c r="C14" s="10"/>
      <c r="D14" s="10"/>
      <c r="E14" s="10"/>
    </row>
    <row r="15" spans="1:5" ht="14.25" customHeight="1" x14ac:dyDescent="0.35">
      <c r="B15" s="12" t="s">
        <v>14</v>
      </c>
      <c r="C15" s="12" t="s">
        <v>15</v>
      </c>
      <c r="D15" s="12" t="s">
        <v>16</v>
      </c>
      <c r="E15" s="12" t="s">
        <v>17</v>
      </c>
    </row>
    <row r="16" spans="1:5" ht="14.25" customHeight="1" x14ac:dyDescent="0.35">
      <c r="A16" s="8" t="s">
        <v>18</v>
      </c>
      <c r="B16" s="13">
        <v>4843769000</v>
      </c>
      <c r="C16" s="14"/>
      <c r="D16" s="14"/>
      <c r="E16" s="14">
        <v>4843769000</v>
      </c>
    </row>
    <row r="17" spans="1:5" ht="14.25" customHeight="1" x14ac:dyDescent="0.35">
      <c r="A17" s="8" t="s">
        <v>19</v>
      </c>
      <c r="B17" s="13"/>
      <c r="C17" s="14"/>
      <c r="D17" s="14"/>
      <c r="E17" s="14"/>
    </row>
    <row r="18" spans="1:5" ht="14.25" customHeight="1" x14ac:dyDescent="0.35">
      <c r="A18" s="8" t="s">
        <v>20</v>
      </c>
      <c r="B18" s="13">
        <v>67870000</v>
      </c>
      <c r="C18" s="14"/>
      <c r="D18" s="14"/>
      <c r="E18" s="14">
        <v>67870000</v>
      </c>
    </row>
    <row r="19" spans="1:5" ht="14.25" customHeight="1" x14ac:dyDescent="0.35">
      <c r="A19" s="8" t="s">
        <v>21</v>
      </c>
      <c r="B19" s="13">
        <v>2240837000</v>
      </c>
      <c r="C19" s="14"/>
      <c r="D19" s="14"/>
      <c r="E19" s="14">
        <v>2240837000</v>
      </c>
    </row>
    <row r="20" spans="1:5" ht="14.25" customHeight="1" x14ac:dyDescent="0.35">
      <c r="A20" s="8" t="s">
        <v>22</v>
      </c>
      <c r="B20" s="13">
        <v>2308707000</v>
      </c>
      <c r="C20" s="14"/>
      <c r="D20" s="14"/>
      <c r="E20" s="14">
        <v>2308707000</v>
      </c>
    </row>
    <row r="21" spans="1:5" ht="14.25" customHeight="1" x14ac:dyDescent="0.35">
      <c r="A21" s="8" t="s">
        <v>23</v>
      </c>
      <c r="B21" s="13">
        <v>77562000</v>
      </c>
      <c r="C21" s="14"/>
      <c r="D21" s="14"/>
      <c r="E21" s="14">
        <v>77562000</v>
      </c>
    </row>
    <row r="22" spans="1:5" ht="14.25" customHeight="1" x14ac:dyDescent="0.35">
      <c r="A22" s="8" t="s">
        <v>24</v>
      </c>
      <c r="B22" s="13">
        <v>2231145000</v>
      </c>
      <c r="C22" s="14"/>
      <c r="D22" s="14"/>
      <c r="E22" s="14">
        <v>2231145000</v>
      </c>
    </row>
    <row r="23" spans="1:5" ht="14.25" customHeight="1" x14ac:dyDescent="0.35">
      <c r="B23" s="13"/>
      <c r="C23" s="14"/>
      <c r="D23" s="14"/>
      <c r="E23" s="14"/>
    </row>
    <row r="24" spans="1:5" ht="14.25" customHeight="1" x14ac:dyDescent="0.35">
      <c r="A24" s="8" t="s">
        <v>25</v>
      </c>
      <c r="B24" s="13">
        <v>2612624000</v>
      </c>
      <c r="C24" s="14"/>
      <c r="D24" s="14"/>
      <c r="E24" s="14">
        <v>2612624000</v>
      </c>
    </row>
    <row r="25" spans="1:5" ht="14.25" customHeight="1" x14ac:dyDescent="0.35">
      <c r="B25" s="13"/>
      <c r="C25" s="14"/>
      <c r="D25" s="14"/>
      <c r="E25" s="14"/>
    </row>
    <row r="26" spans="1:5" ht="14.25" customHeight="1" x14ac:dyDescent="0.35">
      <c r="A26" s="8" t="s">
        <v>26</v>
      </c>
      <c r="B26" s="13"/>
      <c r="C26" s="14"/>
      <c r="D26" s="14"/>
      <c r="E26" s="14"/>
    </row>
    <row r="27" spans="1:5" ht="14.25" customHeight="1" x14ac:dyDescent="0.35">
      <c r="A27" s="8" t="s">
        <v>27</v>
      </c>
      <c r="B27" s="15">
        <v>356130000</v>
      </c>
      <c r="C27" s="14">
        <v>0</v>
      </c>
      <c r="D27" s="14">
        <v>0</v>
      </c>
      <c r="E27" s="14">
        <v>0</v>
      </c>
    </row>
    <row r="28" spans="1:5" ht="14.25" customHeight="1" x14ac:dyDescent="0.35">
      <c r="A28" s="8" t="s">
        <v>28</v>
      </c>
      <c r="B28" s="15">
        <v>372640000</v>
      </c>
      <c r="C28" s="14">
        <v>0</v>
      </c>
      <c r="D28" s="14">
        <v>0</v>
      </c>
      <c r="E28" s="14">
        <v>0</v>
      </c>
    </row>
    <row r="29" spans="1:5" ht="14.25" customHeight="1" x14ac:dyDescent="0.35">
      <c r="A29" s="8" t="s">
        <v>29</v>
      </c>
      <c r="B29" s="15">
        <v>172270000</v>
      </c>
      <c r="C29" s="14">
        <v>0</v>
      </c>
      <c r="D29" s="14">
        <v>0</v>
      </c>
      <c r="E29" s="14">
        <v>0</v>
      </c>
    </row>
    <row r="30" spans="1:5" ht="14.25" customHeight="1" x14ac:dyDescent="0.35">
      <c r="A30" s="8" t="s">
        <v>30</v>
      </c>
      <c r="B30" s="15">
        <v>13192000</v>
      </c>
      <c r="C30" s="14">
        <v>0</v>
      </c>
      <c r="D30" s="14">
        <v>0</v>
      </c>
      <c r="E30" s="14">
        <v>0</v>
      </c>
    </row>
    <row r="31" spans="1:5" ht="14.25" customHeight="1" x14ac:dyDescent="0.35">
      <c r="A31" s="16" t="s">
        <v>31</v>
      </c>
      <c r="B31" s="15">
        <v>12684000</v>
      </c>
      <c r="C31" s="14">
        <v>0</v>
      </c>
      <c r="D31" s="14">
        <v>0</v>
      </c>
      <c r="E31" s="14">
        <v>0</v>
      </c>
    </row>
    <row r="32" spans="1:5" ht="14.25" customHeight="1" x14ac:dyDescent="0.35">
      <c r="A32" s="8" t="s">
        <v>32</v>
      </c>
      <c r="B32" s="15">
        <v>53595000</v>
      </c>
      <c r="C32" s="14">
        <v>0</v>
      </c>
      <c r="D32" s="14">
        <v>0</v>
      </c>
      <c r="E32" s="14">
        <v>0</v>
      </c>
    </row>
    <row r="33" spans="1:5" ht="14.25" customHeight="1" x14ac:dyDescent="0.35">
      <c r="A33" s="8" t="s">
        <v>33</v>
      </c>
      <c r="B33" s="15">
        <v>13446000</v>
      </c>
      <c r="C33" s="14">
        <v>0</v>
      </c>
      <c r="D33" s="14">
        <v>0</v>
      </c>
      <c r="E33" s="14">
        <v>0</v>
      </c>
    </row>
    <row r="34" spans="1:5" ht="14.25" customHeight="1" x14ac:dyDescent="0.35">
      <c r="A34" s="8" t="s">
        <v>34</v>
      </c>
      <c r="B34" s="15">
        <v>5011000</v>
      </c>
      <c r="C34" s="14">
        <v>0</v>
      </c>
      <c r="D34" s="14">
        <v>0</v>
      </c>
      <c r="E34" s="14">
        <v>0</v>
      </c>
    </row>
    <row r="35" spans="1:5" ht="14.25" customHeight="1" x14ac:dyDescent="0.35">
      <c r="A35" s="8" t="s">
        <v>35</v>
      </c>
      <c r="B35" s="15">
        <v>11677000</v>
      </c>
      <c r="C35" s="14">
        <v>0</v>
      </c>
      <c r="D35" s="14">
        <v>0</v>
      </c>
      <c r="E35" s="14">
        <v>0</v>
      </c>
    </row>
    <row r="36" spans="1:5" ht="14.25" customHeight="1" x14ac:dyDescent="0.35">
      <c r="A36" s="8" t="s">
        <v>36</v>
      </c>
      <c r="B36" s="15">
        <v>47250000</v>
      </c>
      <c r="C36" s="14">
        <v>0</v>
      </c>
      <c r="D36" s="14">
        <v>0</v>
      </c>
      <c r="E36" s="14">
        <v>0</v>
      </c>
    </row>
    <row r="37" spans="1:5" ht="14.25" customHeight="1" x14ac:dyDescent="0.35">
      <c r="A37" s="8" t="s">
        <v>37</v>
      </c>
      <c r="B37" s="15">
        <v>4541000</v>
      </c>
      <c r="C37" s="14">
        <v>0</v>
      </c>
      <c r="D37" s="14">
        <v>0</v>
      </c>
      <c r="E37" s="14">
        <v>0</v>
      </c>
    </row>
    <row r="38" spans="1:5" ht="14.25" customHeight="1" x14ac:dyDescent="0.35">
      <c r="A38" s="8" t="s">
        <v>38</v>
      </c>
      <c r="B38" s="15">
        <v>1350000</v>
      </c>
      <c r="C38" s="14">
        <v>0</v>
      </c>
      <c r="D38" s="14">
        <v>0</v>
      </c>
      <c r="E38" s="14">
        <v>0</v>
      </c>
    </row>
    <row r="39" spans="1:5" ht="14.25" customHeight="1" x14ac:dyDescent="0.35">
      <c r="A39" s="8" t="s">
        <v>39</v>
      </c>
      <c r="B39" s="15">
        <v>8437000</v>
      </c>
      <c r="C39" s="14">
        <v>0</v>
      </c>
      <c r="D39" s="14">
        <v>0</v>
      </c>
      <c r="E39" s="14">
        <v>0</v>
      </c>
    </row>
    <row r="40" spans="1:5" ht="14.25" customHeight="1" x14ac:dyDescent="0.35">
      <c r="A40" s="8" t="s">
        <v>40</v>
      </c>
      <c r="B40" s="15">
        <v>9450000</v>
      </c>
      <c r="C40" s="14">
        <v>0</v>
      </c>
      <c r="D40" s="14">
        <v>0</v>
      </c>
      <c r="E40" s="14">
        <v>0</v>
      </c>
    </row>
    <row r="41" spans="1:5" ht="14.25" customHeight="1" x14ac:dyDescent="0.35">
      <c r="A41" s="8" t="s">
        <v>41</v>
      </c>
      <c r="B41" s="15">
        <v>2700000</v>
      </c>
      <c r="C41" s="14">
        <v>0</v>
      </c>
      <c r="D41" s="14">
        <v>0</v>
      </c>
      <c r="E41" s="14">
        <v>0</v>
      </c>
    </row>
    <row r="42" spans="1:5" ht="14.25" customHeight="1" x14ac:dyDescent="0.35">
      <c r="A42" s="8" t="s">
        <v>42</v>
      </c>
      <c r="B42" s="15">
        <v>1350000</v>
      </c>
      <c r="C42" s="14">
        <v>0</v>
      </c>
      <c r="D42" s="14">
        <v>0</v>
      </c>
      <c r="E42" s="14">
        <v>0</v>
      </c>
    </row>
    <row r="43" spans="1:5" ht="14.25" customHeight="1" x14ac:dyDescent="0.35">
      <c r="B43" s="13"/>
      <c r="C43" s="14"/>
      <c r="D43" s="14"/>
      <c r="E43" s="14"/>
    </row>
    <row r="44" spans="1:5" ht="14.25" customHeight="1" x14ac:dyDescent="0.35">
      <c r="A44" s="8" t="s">
        <v>43</v>
      </c>
      <c r="B44" s="13">
        <v>0</v>
      </c>
      <c r="C44" s="14"/>
      <c r="D44" s="14"/>
      <c r="E44" s="14">
        <v>0</v>
      </c>
    </row>
    <row r="45" spans="1:5" ht="14.25" customHeight="1" x14ac:dyDescent="0.35">
      <c r="B45" s="13"/>
      <c r="C45" s="14"/>
      <c r="D45" s="14"/>
      <c r="E45" s="14"/>
    </row>
    <row r="46" spans="1:5" ht="14.25" customHeight="1" x14ac:dyDescent="0.35">
      <c r="A46" s="8" t="s">
        <v>44</v>
      </c>
      <c r="B46" s="13">
        <v>0</v>
      </c>
      <c r="C46" s="14"/>
      <c r="D46" s="14"/>
      <c r="E46" s="14">
        <v>0</v>
      </c>
    </row>
    <row r="47" spans="1:5" ht="14.25" customHeight="1" x14ac:dyDescent="0.35">
      <c r="A47" s="8" t="s">
        <v>45</v>
      </c>
      <c r="B47" s="13">
        <v>0</v>
      </c>
      <c r="E47" s="14">
        <v>0</v>
      </c>
    </row>
    <row r="48" spans="1:5" ht="14.25" customHeight="1" x14ac:dyDescent="0.35">
      <c r="A48" s="8" t="s">
        <v>46</v>
      </c>
      <c r="B48" s="13">
        <v>0</v>
      </c>
      <c r="E48" s="14">
        <v>0</v>
      </c>
    </row>
    <row r="49" spans="1:4" ht="14.25" customHeight="1" x14ac:dyDescent="0.35"/>
    <row r="50" spans="1:4" ht="14.25" customHeight="1" x14ac:dyDescent="0.35"/>
    <row r="51" spans="1:4" ht="14.25" customHeight="1" x14ac:dyDescent="0.35">
      <c r="A51" s="7" t="s">
        <v>47</v>
      </c>
    </row>
    <row r="52" spans="1:4" ht="14.25" customHeight="1" x14ac:dyDescent="0.35"/>
    <row r="53" spans="1:4" ht="14.25" customHeight="1" x14ac:dyDescent="0.35">
      <c r="A53" s="8" t="s">
        <v>48</v>
      </c>
    </row>
    <row r="54" spans="1:4" ht="14.25" customHeight="1" x14ac:dyDescent="0.35">
      <c r="A54" s="8" t="s">
        <v>49</v>
      </c>
    </row>
    <row r="55" spans="1:4" ht="14.25" customHeight="1" x14ac:dyDescent="0.35">
      <c r="A55" s="8" t="s">
        <v>174</v>
      </c>
    </row>
    <row r="56" spans="1:4" ht="14.25" customHeight="1" x14ac:dyDescent="0.35">
      <c r="A56" s="8" t="s">
        <v>8</v>
      </c>
    </row>
    <row r="57" spans="1:4" ht="14.25" customHeight="1" x14ac:dyDescent="0.35">
      <c r="A57" s="8" t="s">
        <v>50</v>
      </c>
    </row>
    <row r="58" spans="1:4" ht="14.25" customHeight="1" x14ac:dyDescent="0.35">
      <c r="A58" s="8" t="s">
        <v>51</v>
      </c>
    </row>
    <row r="59" spans="1:4" ht="14.25" customHeight="1" x14ac:dyDescent="0.35">
      <c r="A59" s="8" t="s">
        <v>52</v>
      </c>
      <c r="B59" s="10"/>
      <c r="C59" s="11"/>
      <c r="D59" s="11"/>
    </row>
    <row r="60" spans="1:4" ht="14.25" customHeight="1" x14ac:dyDescent="0.35">
      <c r="A60" s="8" t="s">
        <v>53</v>
      </c>
      <c r="B60" s="10"/>
      <c r="C60" s="11"/>
      <c r="D60" s="11"/>
    </row>
    <row r="61" spans="1:4" ht="14.25" customHeight="1" x14ac:dyDescent="0.35">
      <c r="A61" s="8" t="s">
        <v>54</v>
      </c>
    </row>
    <row r="62" spans="1:4" ht="14.25" customHeight="1" x14ac:dyDescent="0.35">
      <c r="A62" s="8" t="s">
        <v>55</v>
      </c>
    </row>
    <row r="63" spans="1:4" ht="14.25" customHeight="1" x14ac:dyDescent="0.35"/>
    <row r="64" spans="1:4" ht="14.25" customHeight="1" x14ac:dyDescent="0.35">
      <c r="A64" s="8" t="s">
        <v>56</v>
      </c>
    </row>
    <row r="65" spans="1:5" ht="14.25" customHeight="1" x14ac:dyDescent="0.35"/>
    <row r="66" spans="1:5" ht="14.25" customHeight="1" x14ac:dyDescent="0.35">
      <c r="A66" s="8" t="s">
        <v>57</v>
      </c>
      <c r="B66" s="8" t="s">
        <v>58</v>
      </c>
    </row>
    <row r="67" spans="1:5" ht="14.25" customHeight="1" x14ac:dyDescent="0.35">
      <c r="A67" s="8" t="s">
        <v>59</v>
      </c>
      <c r="B67" s="8" t="s">
        <v>60</v>
      </c>
    </row>
    <row r="68" spans="1:5" ht="14.25" customHeight="1" x14ac:dyDescent="0.35">
      <c r="A68" s="8" t="s">
        <v>61</v>
      </c>
      <c r="B68" s="8" t="s">
        <v>62</v>
      </c>
    </row>
    <row r="69" spans="1:5" ht="14.25" customHeight="1" x14ac:dyDescent="0.35">
      <c r="A69" s="8" t="s">
        <v>63</v>
      </c>
      <c r="B69" s="8" t="s">
        <v>64</v>
      </c>
    </row>
    <row r="70" spans="1:5" ht="14.25" customHeight="1" x14ac:dyDescent="0.35">
      <c r="A70" s="8" t="s">
        <v>65</v>
      </c>
      <c r="B70" s="8" t="s">
        <v>66</v>
      </c>
    </row>
    <row r="71" spans="1:5" ht="14.25" customHeight="1" x14ac:dyDescent="0.35"/>
    <row r="72" spans="1:5" ht="14.25" customHeight="1" x14ac:dyDescent="0.35">
      <c r="A72" s="8" t="s">
        <v>67</v>
      </c>
    </row>
    <row r="73" spans="1:5" ht="14.25" customHeight="1" x14ac:dyDescent="0.35">
      <c r="A73" s="11" t="s">
        <v>68</v>
      </c>
      <c r="B73" s="8" t="s">
        <v>69</v>
      </c>
      <c r="C73" s="8" t="s">
        <v>70</v>
      </c>
      <c r="D73" s="8" t="s">
        <v>71</v>
      </c>
      <c r="E73" s="8" t="s">
        <v>72</v>
      </c>
    </row>
    <row r="74" spans="1:5" ht="14.25" customHeight="1" x14ac:dyDescent="0.35">
      <c r="A74" s="11">
        <v>1</v>
      </c>
      <c r="B74" s="8" t="s">
        <v>58</v>
      </c>
      <c r="C74" s="8" t="s">
        <v>73</v>
      </c>
      <c r="D74" s="17">
        <v>823012121990001</v>
      </c>
      <c r="E74" s="8" t="s">
        <v>74</v>
      </c>
    </row>
    <row r="75" spans="1:5" ht="14.25" customHeight="1" x14ac:dyDescent="0.35"/>
    <row r="76" spans="1:5" ht="14.25" customHeight="1" x14ac:dyDescent="0.35">
      <c r="A76" s="8" t="s">
        <v>75</v>
      </c>
    </row>
    <row r="77" spans="1:5" ht="14.25" customHeight="1" x14ac:dyDescent="0.35"/>
    <row r="78" spans="1:5" ht="14.25" customHeight="1" x14ac:dyDescent="0.35">
      <c r="A78" s="18" t="s">
        <v>68</v>
      </c>
      <c r="B78" s="19" t="s">
        <v>76</v>
      </c>
      <c r="C78" s="19" t="s">
        <v>77</v>
      </c>
      <c r="D78" s="19" t="s">
        <v>78</v>
      </c>
      <c r="E78" s="19" t="s">
        <v>72</v>
      </c>
    </row>
    <row r="79" spans="1:5" ht="14.25" customHeight="1" x14ac:dyDescent="0.35">
      <c r="A79" s="20">
        <v>1</v>
      </c>
      <c r="B79" s="21" t="s">
        <v>79</v>
      </c>
      <c r="C79" s="21">
        <v>1993</v>
      </c>
      <c r="D79" s="22">
        <v>110000000</v>
      </c>
      <c r="E79" s="21" t="s">
        <v>80</v>
      </c>
    </row>
    <row r="80" spans="1:5" ht="14.25" customHeight="1" x14ac:dyDescent="0.35">
      <c r="A80" s="20">
        <v>2</v>
      </c>
      <c r="B80" s="21" t="s">
        <v>81</v>
      </c>
      <c r="C80" s="21">
        <v>2001</v>
      </c>
      <c r="D80" s="22">
        <v>410000000</v>
      </c>
      <c r="E80" s="21" t="s">
        <v>82</v>
      </c>
    </row>
    <row r="81" spans="1:10" ht="14.25" customHeight="1" x14ac:dyDescent="0.35">
      <c r="A81" s="20">
        <v>3</v>
      </c>
      <c r="B81" s="21" t="s">
        <v>83</v>
      </c>
      <c r="C81" s="21">
        <v>2003</v>
      </c>
      <c r="D81" s="22">
        <v>23000000</v>
      </c>
      <c r="E81" s="21" t="s">
        <v>84</v>
      </c>
    </row>
    <row r="82" spans="1:10" ht="14.25" customHeight="1" x14ac:dyDescent="0.35">
      <c r="A82" s="20">
        <v>4</v>
      </c>
      <c r="B82" s="21" t="s">
        <v>85</v>
      </c>
      <c r="C82" s="21">
        <v>2015</v>
      </c>
      <c r="D82" s="22">
        <v>25000000</v>
      </c>
      <c r="E82" s="21" t="s">
        <v>86</v>
      </c>
    </row>
    <row r="83" spans="1:10" ht="14.25" customHeight="1" x14ac:dyDescent="0.35">
      <c r="A83" s="21"/>
      <c r="B83" s="21"/>
      <c r="C83" s="21"/>
      <c r="D83" s="21"/>
      <c r="E83" s="21"/>
    </row>
    <row r="84" spans="1:10" ht="14.25" customHeight="1" x14ac:dyDescent="0.35">
      <c r="A84" s="21" t="s">
        <v>87</v>
      </c>
      <c r="B84" s="21"/>
      <c r="C84" s="21"/>
      <c r="D84" s="21"/>
      <c r="E84" s="21"/>
    </row>
    <row r="85" spans="1:10" ht="14.25" customHeight="1" x14ac:dyDescent="0.35">
      <c r="A85" s="21" t="s">
        <v>88</v>
      </c>
      <c r="C85" s="21"/>
      <c r="D85" s="21"/>
      <c r="E85" s="21"/>
    </row>
    <row r="86" spans="1:10" ht="14.25" customHeight="1" x14ac:dyDescent="0.35">
      <c r="C86" s="21"/>
      <c r="D86" s="21"/>
      <c r="E86" s="21"/>
    </row>
    <row r="87" spans="1:10" ht="14.25" customHeight="1" x14ac:dyDescent="0.35">
      <c r="A87" s="21" t="s">
        <v>89</v>
      </c>
      <c r="B87" s="11"/>
    </row>
    <row r="88" spans="1:10" ht="14.25" customHeight="1" x14ac:dyDescent="0.35">
      <c r="B88" s="10"/>
      <c r="C88" s="11"/>
      <c r="D88" s="11"/>
      <c r="E88" s="11"/>
    </row>
    <row r="89" spans="1:10" ht="14.25" customHeight="1" x14ac:dyDescent="0.35">
      <c r="A89" s="23" t="s">
        <v>90</v>
      </c>
    </row>
    <row r="90" spans="1:10" ht="14.25" customHeight="1" x14ac:dyDescent="0.35"/>
    <row r="91" spans="1:10" ht="14.25" customHeight="1" x14ac:dyDescent="0.35">
      <c r="A91" s="78" t="s">
        <v>91</v>
      </c>
      <c r="B91" s="79"/>
      <c r="C91" s="79"/>
      <c r="D91" s="80"/>
      <c r="F91" s="24" t="s">
        <v>92</v>
      </c>
      <c r="G91" s="25"/>
      <c r="H91" s="25"/>
      <c r="I91" s="25"/>
      <c r="J91" s="25"/>
    </row>
    <row r="92" spans="1:10" ht="14.25" customHeight="1" x14ac:dyDescent="0.35">
      <c r="A92" s="78" t="s">
        <v>58</v>
      </c>
      <c r="B92" s="79"/>
      <c r="C92" s="79"/>
      <c r="D92" s="80"/>
      <c r="F92" s="16"/>
      <c r="G92" s="25"/>
      <c r="H92" s="25"/>
      <c r="I92" s="25"/>
      <c r="J92" s="25"/>
    </row>
    <row r="93" spans="1:10" ht="14.25" customHeight="1" x14ac:dyDescent="0.35">
      <c r="A93" s="78" t="s">
        <v>93</v>
      </c>
      <c r="B93" s="79"/>
      <c r="C93" s="79"/>
      <c r="D93" s="80"/>
      <c r="F93" s="26" t="s">
        <v>94</v>
      </c>
      <c r="G93" s="27"/>
      <c r="H93" s="27"/>
      <c r="I93" s="27"/>
      <c r="J93" s="27"/>
    </row>
    <row r="94" spans="1:10" ht="14.25" customHeight="1" x14ac:dyDescent="0.35">
      <c r="A94" s="28"/>
      <c r="B94" s="28"/>
      <c r="C94" s="28"/>
      <c r="D94" s="28"/>
      <c r="F94" s="29"/>
      <c r="G94" s="16"/>
      <c r="H94" s="16"/>
      <c r="I94" s="16"/>
      <c r="J94" s="16"/>
    </row>
    <row r="95" spans="1:10" ht="14.25" customHeight="1" x14ac:dyDescent="0.35">
      <c r="A95" s="30" t="s">
        <v>95</v>
      </c>
      <c r="B95" s="30" t="s">
        <v>96</v>
      </c>
      <c r="C95" s="30" t="s">
        <v>97</v>
      </c>
      <c r="D95" s="30" t="s">
        <v>17</v>
      </c>
      <c r="F95" s="31" t="s">
        <v>72</v>
      </c>
      <c r="G95" s="31" t="s">
        <v>98</v>
      </c>
      <c r="H95" s="31" t="s">
        <v>99</v>
      </c>
      <c r="I95" s="31" t="s">
        <v>100</v>
      </c>
      <c r="J95" s="31" t="s">
        <v>101</v>
      </c>
    </row>
    <row r="96" spans="1:10" ht="14.25" customHeight="1" x14ac:dyDescent="0.35">
      <c r="A96" s="32" t="s">
        <v>102</v>
      </c>
      <c r="B96" s="33">
        <v>11183221500</v>
      </c>
      <c r="C96" s="32"/>
      <c r="D96" s="33">
        <v>11183221500</v>
      </c>
      <c r="F96" s="34" t="s">
        <v>103</v>
      </c>
      <c r="G96" s="31" t="s">
        <v>104</v>
      </c>
      <c r="H96" s="35" t="s">
        <v>105</v>
      </c>
      <c r="I96" s="36">
        <v>257474000</v>
      </c>
      <c r="J96" s="37" t="s">
        <v>106</v>
      </c>
    </row>
    <row r="97" spans="1:10" ht="14.25" customHeight="1" x14ac:dyDescent="0.35">
      <c r="A97" s="32" t="s">
        <v>107</v>
      </c>
      <c r="B97" s="33">
        <v>0</v>
      </c>
      <c r="C97" s="38"/>
      <c r="D97" s="38">
        <v>0</v>
      </c>
      <c r="F97" s="34" t="s">
        <v>108</v>
      </c>
      <c r="G97" s="31" t="s">
        <v>104</v>
      </c>
      <c r="H97" s="35" t="s">
        <v>109</v>
      </c>
      <c r="I97" s="36">
        <v>290871000</v>
      </c>
      <c r="J97" s="37" t="s">
        <v>106</v>
      </c>
    </row>
    <row r="98" spans="1:10" ht="14.25" customHeight="1" x14ac:dyDescent="0.35">
      <c r="A98" s="32" t="s">
        <v>110</v>
      </c>
      <c r="B98" s="33">
        <v>101832200</v>
      </c>
      <c r="C98" s="38"/>
      <c r="D98" s="38">
        <v>101832200</v>
      </c>
      <c r="F98" s="34" t="s">
        <v>111</v>
      </c>
      <c r="G98" s="31" t="s">
        <v>104</v>
      </c>
      <c r="H98" s="35" t="s">
        <v>112</v>
      </c>
      <c r="I98" s="36">
        <v>432459000</v>
      </c>
      <c r="J98" s="37" t="s">
        <v>113</v>
      </c>
    </row>
    <row r="99" spans="1:10" ht="14.25" customHeight="1" x14ac:dyDescent="0.35">
      <c r="A99" s="32" t="s">
        <v>114</v>
      </c>
      <c r="B99" s="33">
        <v>11081389300</v>
      </c>
      <c r="C99" s="38"/>
      <c r="D99" s="38">
        <v>11081389300</v>
      </c>
      <c r="F99" s="34" t="s">
        <v>115</v>
      </c>
      <c r="G99" s="31" t="s">
        <v>116</v>
      </c>
      <c r="H99" s="35" t="s">
        <v>117</v>
      </c>
      <c r="I99" s="39">
        <v>1215000000</v>
      </c>
      <c r="J99" s="37" t="s">
        <v>113</v>
      </c>
    </row>
    <row r="100" spans="1:10" ht="14.25" customHeight="1" x14ac:dyDescent="0.35">
      <c r="A100" s="32"/>
      <c r="B100" s="33"/>
      <c r="C100" s="38"/>
      <c r="D100" s="38"/>
    </row>
    <row r="101" spans="1:10" ht="14.25" customHeight="1" x14ac:dyDescent="0.35">
      <c r="A101" s="32" t="s">
        <v>118</v>
      </c>
      <c r="B101" s="33"/>
      <c r="C101" s="38"/>
      <c r="D101" s="38"/>
    </row>
    <row r="102" spans="1:10" ht="14.25" customHeight="1" x14ac:dyDescent="0.35">
      <c r="A102" s="32" t="s">
        <v>119</v>
      </c>
      <c r="B102" s="33">
        <v>319200000</v>
      </c>
      <c r="C102" s="38"/>
      <c r="D102" s="33">
        <v>319200000</v>
      </c>
      <c r="F102" s="40" t="s">
        <v>103</v>
      </c>
      <c r="G102" s="41"/>
      <c r="H102" s="42"/>
      <c r="I102" s="43" t="s">
        <v>120</v>
      </c>
      <c r="J102" s="44"/>
    </row>
    <row r="103" spans="1:10" ht="14.25" customHeight="1" x14ac:dyDescent="0.35">
      <c r="A103" s="32" t="s">
        <v>121</v>
      </c>
      <c r="B103" s="33">
        <v>5879404079.999999</v>
      </c>
      <c r="C103" s="38"/>
      <c r="D103" s="33">
        <v>5879404079.999999</v>
      </c>
      <c r="F103" s="45"/>
      <c r="G103" s="45"/>
      <c r="H103" s="45"/>
      <c r="I103" s="45"/>
      <c r="J103" s="45"/>
    </row>
    <row r="104" spans="1:10" ht="14.25" customHeight="1" x14ac:dyDescent="0.35">
      <c r="A104" s="32" t="s">
        <v>122</v>
      </c>
      <c r="B104" s="33">
        <v>443459999.99999994</v>
      </c>
      <c r="C104" s="38"/>
      <c r="D104" s="33">
        <v>443459999.99999994</v>
      </c>
      <c r="F104" s="46" t="s">
        <v>123</v>
      </c>
      <c r="G104" s="46" t="s">
        <v>124</v>
      </c>
      <c r="H104" s="46" t="s">
        <v>125</v>
      </c>
      <c r="I104" s="46" t="s">
        <v>126</v>
      </c>
      <c r="J104" s="45"/>
    </row>
    <row r="105" spans="1:10" ht="14.25" customHeight="1" x14ac:dyDescent="0.35">
      <c r="A105" s="32" t="s">
        <v>127</v>
      </c>
      <c r="B105" s="33">
        <v>5755144079.999999</v>
      </c>
      <c r="C105" s="38"/>
      <c r="D105" s="33">
        <v>5755144079.999999</v>
      </c>
      <c r="F105" s="47" t="s">
        <v>128</v>
      </c>
      <c r="G105" s="47"/>
      <c r="H105" s="47"/>
      <c r="I105" s="47"/>
      <c r="J105" s="45"/>
    </row>
    <row r="106" spans="1:10" ht="14.25" customHeight="1" x14ac:dyDescent="0.35">
      <c r="A106" s="32" t="s">
        <v>129</v>
      </c>
      <c r="B106" s="33">
        <v>5326245220.000001</v>
      </c>
      <c r="C106" s="38"/>
      <c r="D106" s="33">
        <v>5326245220.000001</v>
      </c>
      <c r="F106" s="48">
        <v>2018</v>
      </c>
      <c r="G106" s="38"/>
      <c r="H106" s="38"/>
      <c r="I106" s="38"/>
      <c r="J106" s="45"/>
    </row>
    <row r="107" spans="1:10" ht="14.25" customHeight="1" x14ac:dyDescent="0.35">
      <c r="A107" s="32"/>
      <c r="B107" s="33"/>
      <c r="C107" s="38"/>
      <c r="D107" s="38"/>
      <c r="F107" s="48">
        <v>2019</v>
      </c>
      <c r="G107" s="38"/>
      <c r="H107" s="38"/>
      <c r="I107" s="38"/>
      <c r="J107" s="45"/>
    </row>
    <row r="108" spans="1:10" ht="14.25" customHeight="1" x14ac:dyDescent="0.35">
      <c r="A108" s="32"/>
      <c r="B108" s="33"/>
      <c r="C108" s="38"/>
      <c r="D108" s="38"/>
      <c r="F108" s="48">
        <v>2020</v>
      </c>
      <c r="G108" s="38"/>
      <c r="H108" s="38"/>
      <c r="I108" s="38"/>
      <c r="J108" s="45"/>
    </row>
    <row r="109" spans="1:10" ht="14.25" customHeight="1" x14ac:dyDescent="0.35">
      <c r="A109" s="32" t="s">
        <v>130</v>
      </c>
      <c r="B109" s="33"/>
      <c r="C109" s="38"/>
      <c r="D109" s="38"/>
      <c r="F109" s="48">
        <v>2021</v>
      </c>
      <c r="G109" s="38"/>
      <c r="H109" s="38"/>
      <c r="I109" s="38"/>
      <c r="J109" s="45"/>
    </row>
    <row r="110" spans="1:10" ht="14.25" customHeight="1" x14ac:dyDescent="0.35">
      <c r="A110" s="49" t="s">
        <v>131</v>
      </c>
      <c r="B110" s="50">
        <v>150903000</v>
      </c>
      <c r="C110" s="33">
        <v>0</v>
      </c>
      <c r="D110" s="33">
        <v>0</v>
      </c>
      <c r="F110" s="48">
        <v>2022</v>
      </c>
      <c r="G110" s="38"/>
      <c r="H110" s="38"/>
      <c r="I110" s="38"/>
      <c r="J110" s="45"/>
    </row>
    <row r="111" spans="1:10" ht="14.25" customHeight="1" x14ac:dyDescent="0.35">
      <c r="A111" s="51" t="s">
        <v>132</v>
      </c>
      <c r="B111" s="50">
        <v>151200000</v>
      </c>
      <c r="C111" s="33">
        <v>0</v>
      </c>
      <c r="D111" s="33">
        <v>0</v>
      </c>
      <c r="F111" s="52"/>
      <c r="G111" s="52"/>
      <c r="H111" s="52"/>
      <c r="I111" s="52"/>
      <c r="J111" s="45"/>
    </row>
    <row r="112" spans="1:10" ht="14.25" customHeight="1" x14ac:dyDescent="0.35">
      <c r="A112" s="53" t="s">
        <v>133</v>
      </c>
      <c r="B112" s="50">
        <v>16875000</v>
      </c>
      <c r="C112" s="33">
        <v>0</v>
      </c>
      <c r="D112" s="33">
        <v>0</v>
      </c>
      <c r="F112" s="52"/>
      <c r="G112" s="52"/>
      <c r="H112" s="52"/>
      <c r="I112" s="52"/>
      <c r="J112" s="45"/>
    </row>
    <row r="113" spans="1:10" ht="14.25" customHeight="1" x14ac:dyDescent="0.35">
      <c r="A113" s="54" t="s">
        <v>134</v>
      </c>
      <c r="B113" s="50">
        <v>75645000</v>
      </c>
      <c r="C113" s="33">
        <v>0</v>
      </c>
      <c r="D113" s="33">
        <v>0</v>
      </c>
      <c r="F113" s="40" t="s">
        <v>108</v>
      </c>
      <c r="G113" s="41"/>
      <c r="H113" s="42"/>
      <c r="I113" s="43" t="s">
        <v>120</v>
      </c>
      <c r="J113" s="44"/>
    </row>
    <row r="114" spans="1:10" ht="14.25" customHeight="1" x14ac:dyDescent="0.35">
      <c r="A114" s="54" t="s">
        <v>135</v>
      </c>
      <c r="B114" s="50">
        <v>40324000</v>
      </c>
      <c r="C114" s="33">
        <v>0</v>
      </c>
      <c r="D114" s="33">
        <v>0</v>
      </c>
      <c r="F114" s="52"/>
      <c r="G114" s="52"/>
      <c r="H114" s="52"/>
      <c r="I114" s="52"/>
      <c r="J114" s="45"/>
    </row>
    <row r="115" spans="1:10" ht="14.25" customHeight="1" x14ac:dyDescent="0.35">
      <c r="A115" s="53" t="s">
        <v>136</v>
      </c>
      <c r="B115" s="50">
        <v>6750000</v>
      </c>
      <c r="C115" s="33">
        <v>0</v>
      </c>
      <c r="D115" s="33">
        <v>0</v>
      </c>
      <c r="F115" s="46" t="s">
        <v>123</v>
      </c>
      <c r="G115" s="46" t="s">
        <v>124</v>
      </c>
      <c r="H115" s="46" t="s">
        <v>125</v>
      </c>
      <c r="I115" s="46" t="s">
        <v>126</v>
      </c>
      <c r="J115" s="45"/>
    </row>
    <row r="116" spans="1:10" ht="14.25" customHeight="1" x14ac:dyDescent="0.35">
      <c r="A116" s="54" t="s">
        <v>137</v>
      </c>
      <c r="B116" s="50">
        <v>31185000</v>
      </c>
      <c r="C116" s="33">
        <v>0</v>
      </c>
      <c r="D116" s="33">
        <v>0</v>
      </c>
      <c r="F116" s="47" t="s">
        <v>128</v>
      </c>
      <c r="G116" s="38"/>
      <c r="H116" s="38"/>
      <c r="I116" s="38"/>
      <c r="J116" s="45"/>
    </row>
    <row r="117" spans="1:10" ht="14.25" customHeight="1" x14ac:dyDescent="0.35">
      <c r="A117" s="54" t="s">
        <v>138</v>
      </c>
      <c r="B117" s="50">
        <v>250155000</v>
      </c>
      <c r="C117" s="33">
        <v>0</v>
      </c>
      <c r="D117" s="33">
        <v>0</v>
      </c>
      <c r="F117" s="48">
        <v>2019</v>
      </c>
      <c r="G117" s="38"/>
      <c r="H117" s="38"/>
      <c r="I117" s="38"/>
      <c r="J117" s="45"/>
    </row>
    <row r="118" spans="1:10" ht="14.25" customHeight="1" x14ac:dyDescent="0.35">
      <c r="A118" s="53" t="s">
        <v>139</v>
      </c>
      <c r="B118" s="50">
        <v>124200000</v>
      </c>
      <c r="C118" s="33">
        <v>0</v>
      </c>
      <c r="D118" s="33">
        <v>0</v>
      </c>
      <c r="F118" s="48">
        <v>2020</v>
      </c>
      <c r="G118" s="38"/>
      <c r="H118" s="38"/>
      <c r="I118" s="38"/>
      <c r="J118" s="45"/>
    </row>
    <row r="119" spans="1:10" ht="14.25" customHeight="1" x14ac:dyDescent="0.35">
      <c r="A119" s="54" t="s">
        <v>140</v>
      </c>
      <c r="B119" s="50">
        <v>66420000</v>
      </c>
      <c r="C119" s="33">
        <v>0</v>
      </c>
      <c r="D119" s="33">
        <v>0</v>
      </c>
      <c r="F119" s="48">
        <v>2021</v>
      </c>
      <c r="G119" s="38"/>
      <c r="H119" s="38"/>
      <c r="I119" s="38"/>
      <c r="J119" s="45"/>
    </row>
    <row r="120" spans="1:10" ht="14.25" customHeight="1" x14ac:dyDescent="0.35">
      <c r="A120" s="54" t="s">
        <v>141</v>
      </c>
      <c r="B120" s="50">
        <v>70875000</v>
      </c>
      <c r="C120" s="33">
        <v>0</v>
      </c>
      <c r="D120" s="33">
        <v>0</v>
      </c>
      <c r="F120" s="48">
        <v>2022</v>
      </c>
      <c r="G120" s="38"/>
      <c r="H120" s="38"/>
      <c r="I120" s="38"/>
      <c r="J120" s="45"/>
    </row>
    <row r="121" spans="1:10" ht="14.25" customHeight="1" x14ac:dyDescent="0.35">
      <c r="A121" s="54" t="s">
        <v>142</v>
      </c>
      <c r="B121" s="50">
        <v>57915000</v>
      </c>
      <c r="C121" s="33">
        <v>0</v>
      </c>
      <c r="D121" s="33">
        <v>0</v>
      </c>
      <c r="F121" s="48">
        <v>2023</v>
      </c>
      <c r="G121" s="38"/>
      <c r="H121" s="38"/>
      <c r="I121" s="38"/>
      <c r="J121" s="45"/>
    </row>
    <row r="122" spans="1:10" ht="14.25" customHeight="1" x14ac:dyDescent="0.35">
      <c r="A122" s="53" t="s">
        <v>143</v>
      </c>
      <c r="B122" s="50">
        <v>40230000</v>
      </c>
      <c r="C122" s="33">
        <v>0</v>
      </c>
      <c r="D122" s="33">
        <v>0</v>
      </c>
      <c r="F122" s="52"/>
      <c r="G122" s="52"/>
      <c r="H122" s="52"/>
      <c r="I122" s="45"/>
      <c r="J122" s="45"/>
    </row>
    <row r="123" spans="1:10" ht="14.25" customHeight="1" x14ac:dyDescent="0.35">
      <c r="A123" s="54" t="s">
        <v>144</v>
      </c>
      <c r="B123" s="50">
        <v>35100000</v>
      </c>
      <c r="C123" s="33">
        <v>0</v>
      </c>
      <c r="D123" s="33">
        <v>0</v>
      </c>
      <c r="F123" s="52"/>
      <c r="G123" s="52"/>
      <c r="H123" s="52"/>
      <c r="I123" s="45"/>
      <c r="J123" s="45"/>
    </row>
    <row r="124" spans="1:10" ht="14.25" customHeight="1" x14ac:dyDescent="0.35">
      <c r="A124" s="53" t="s">
        <v>145</v>
      </c>
      <c r="B124" s="50">
        <v>58050000</v>
      </c>
      <c r="C124" s="33">
        <v>0</v>
      </c>
      <c r="D124" s="33">
        <v>0</v>
      </c>
      <c r="F124" s="55" t="s">
        <v>111</v>
      </c>
      <c r="G124" s="41"/>
      <c r="H124" s="56"/>
      <c r="I124" s="43"/>
      <c r="J124" s="44"/>
    </row>
    <row r="125" spans="1:10" ht="14.25" customHeight="1" x14ac:dyDescent="0.35">
      <c r="A125" s="53" t="s">
        <v>146</v>
      </c>
      <c r="B125" s="50">
        <v>16200000</v>
      </c>
      <c r="C125" s="33">
        <v>0</v>
      </c>
      <c r="D125" s="33">
        <v>0</v>
      </c>
      <c r="F125" s="29"/>
      <c r="G125" s="41"/>
      <c r="H125" s="56"/>
      <c r="I125" s="43"/>
      <c r="J125" s="44"/>
    </row>
    <row r="126" spans="1:10" ht="14.25" customHeight="1" x14ac:dyDescent="0.35">
      <c r="A126" s="53" t="s">
        <v>147</v>
      </c>
      <c r="B126" s="50">
        <v>4050000</v>
      </c>
      <c r="C126" s="33">
        <v>0</v>
      </c>
      <c r="D126" s="33">
        <v>0</v>
      </c>
      <c r="F126" s="46" t="s">
        <v>123</v>
      </c>
      <c r="G126" s="46" t="s">
        <v>124</v>
      </c>
      <c r="H126" s="46" t="s">
        <v>125</v>
      </c>
      <c r="I126" s="46" t="s">
        <v>126</v>
      </c>
      <c r="J126" s="45"/>
    </row>
    <row r="127" spans="1:10" ht="14.25" customHeight="1" x14ac:dyDescent="0.35">
      <c r="A127" s="54" t="s">
        <v>148</v>
      </c>
      <c r="B127" s="50">
        <v>20250000</v>
      </c>
      <c r="C127" s="33">
        <v>0</v>
      </c>
      <c r="D127" s="33">
        <v>0</v>
      </c>
      <c r="F127" s="47" t="s">
        <v>128</v>
      </c>
      <c r="G127" s="38"/>
      <c r="H127" s="38"/>
      <c r="I127" s="38"/>
      <c r="J127" s="45"/>
    </row>
    <row r="128" spans="1:10" ht="14.25" customHeight="1" x14ac:dyDescent="0.35">
      <c r="A128" s="57" t="s">
        <v>149</v>
      </c>
      <c r="B128" s="58">
        <v>4050000</v>
      </c>
      <c r="C128" s="33">
        <v>0</v>
      </c>
      <c r="D128" s="33">
        <v>0</v>
      </c>
      <c r="F128" s="48">
        <v>2018</v>
      </c>
      <c r="G128" s="38"/>
      <c r="H128" s="38"/>
      <c r="I128" s="38"/>
      <c r="J128" s="45"/>
    </row>
    <row r="129" spans="1:10" ht="14.25" customHeight="1" x14ac:dyDescent="0.35">
      <c r="A129" s="57" t="s">
        <v>150</v>
      </c>
      <c r="B129" s="58">
        <v>180900000</v>
      </c>
      <c r="C129" s="33">
        <v>0</v>
      </c>
      <c r="D129" s="33">
        <v>0</v>
      </c>
      <c r="F129" s="48">
        <v>2019</v>
      </c>
      <c r="G129" s="38"/>
      <c r="H129" s="38"/>
      <c r="I129" s="38"/>
      <c r="J129" s="45"/>
    </row>
    <row r="130" spans="1:10" ht="14.25" customHeight="1" x14ac:dyDescent="0.35">
      <c r="A130" s="59" t="s">
        <v>151</v>
      </c>
      <c r="B130" s="58">
        <v>346545000</v>
      </c>
      <c r="C130" s="33">
        <v>0</v>
      </c>
      <c r="D130" s="33">
        <v>0</v>
      </c>
      <c r="F130" s="48">
        <v>2020</v>
      </c>
      <c r="G130" s="38"/>
      <c r="H130" s="38"/>
      <c r="I130" s="38"/>
      <c r="J130" s="45"/>
    </row>
    <row r="131" spans="1:10" ht="14.25" customHeight="1" x14ac:dyDescent="0.35">
      <c r="A131" s="59" t="s">
        <v>152</v>
      </c>
      <c r="B131" s="58">
        <v>4590000</v>
      </c>
      <c r="C131" s="33">
        <v>0</v>
      </c>
      <c r="D131" s="33">
        <v>0</v>
      </c>
      <c r="F131" s="48">
        <v>2021</v>
      </c>
      <c r="G131" s="38"/>
      <c r="H131" s="38"/>
      <c r="I131" s="38"/>
      <c r="J131" s="45"/>
    </row>
    <row r="132" spans="1:10" ht="14.25" customHeight="1" x14ac:dyDescent="0.35">
      <c r="A132" s="59" t="s">
        <v>153</v>
      </c>
      <c r="B132" s="58">
        <v>193320000</v>
      </c>
      <c r="C132" s="33">
        <v>0</v>
      </c>
      <c r="D132" s="33">
        <v>0</v>
      </c>
      <c r="F132" s="48">
        <v>2022</v>
      </c>
      <c r="G132" s="38"/>
      <c r="H132" s="38"/>
      <c r="I132" s="38"/>
      <c r="J132" s="45"/>
    </row>
    <row r="133" spans="1:10" ht="14.25" customHeight="1" x14ac:dyDescent="0.35">
      <c r="A133" s="60" t="s">
        <v>154</v>
      </c>
      <c r="B133" s="61">
        <v>1215000000</v>
      </c>
      <c r="C133" s="33">
        <v>0</v>
      </c>
      <c r="D133" s="33">
        <v>0</v>
      </c>
      <c r="F133" s="45"/>
      <c r="G133" s="45"/>
      <c r="H133" s="45"/>
      <c r="I133" s="45"/>
      <c r="J133" s="45"/>
    </row>
    <row r="134" spans="1:10" ht="14.25" customHeight="1" x14ac:dyDescent="0.35">
      <c r="A134" s="54" t="s">
        <v>155</v>
      </c>
      <c r="B134" s="61">
        <v>88020000</v>
      </c>
      <c r="C134" s="33">
        <v>0</v>
      </c>
      <c r="D134" s="33">
        <v>0</v>
      </c>
      <c r="F134" s="55" t="s">
        <v>156</v>
      </c>
      <c r="G134" s="41"/>
      <c r="H134" s="56"/>
      <c r="I134" s="62"/>
      <c r="J134" s="44"/>
    </row>
    <row r="135" spans="1:10" ht="14.25" customHeight="1" x14ac:dyDescent="0.35">
      <c r="A135" s="60" t="s">
        <v>157</v>
      </c>
      <c r="B135" s="61">
        <v>121027000</v>
      </c>
      <c r="C135" s="33">
        <v>0</v>
      </c>
      <c r="D135" s="33">
        <v>0</v>
      </c>
      <c r="F135" s="46" t="s">
        <v>123</v>
      </c>
      <c r="G135" s="46" t="s">
        <v>124</v>
      </c>
      <c r="H135" s="46" t="s">
        <v>125</v>
      </c>
      <c r="I135" s="46" t="s">
        <v>126</v>
      </c>
      <c r="J135" s="45"/>
    </row>
    <row r="136" spans="1:10" ht="14.25" customHeight="1" x14ac:dyDescent="0.35">
      <c r="A136" s="63" t="s">
        <v>158</v>
      </c>
      <c r="B136" s="61">
        <v>28822000</v>
      </c>
      <c r="C136" s="33">
        <v>0</v>
      </c>
      <c r="D136" s="33">
        <v>0</v>
      </c>
      <c r="F136" s="47" t="s">
        <v>128</v>
      </c>
      <c r="G136" s="47"/>
      <c r="H136" s="47"/>
      <c r="I136" s="47">
        <v>0</v>
      </c>
      <c r="J136" s="45"/>
    </row>
    <row r="137" spans="1:10" ht="14.25" customHeight="1" x14ac:dyDescent="0.35">
      <c r="A137" s="64" t="s">
        <v>159</v>
      </c>
      <c r="B137" s="50">
        <v>1205360100</v>
      </c>
      <c r="C137" s="33">
        <v>0</v>
      </c>
      <c r="D137" s="33">
        <v>0</v>
      </c>
      <c r="F137" s="48">
        <v>2020</v>
      </c>
      <c r="G137" s="47">
        <v>0</v>
      </c>
      <c r="H137" s="47">
        <v>0</v>
      </c>
      <c r="I137" s="47">
        <v>0</v>
      </c>
      <c r="J137" s="45"/>
    </row>
    <row r="138" spans="1:10" ht="14.25" customHeight="1" x14ac:dyDescent="0.35">
      <c r="A138" s="32" t="s">
        <v>160</v>
      </c>
      <c r="B138" s="50">
        <v>69439600</v>
      </c>
      <c r="C138" s="33">
        <v>0</v>
      </c>
      <c r="D138" s="33">
        <v>0</v>
      </c>
      <c r="F138" s="48">
        <v>2021</v>
      </c>
      <c r="G138" s="47">
        <v>0</v>
      </c>
      <c r="H138" s="47">
        <v>0</v>
      </c>
      <c r="I138" s="47">
        <v>0</v>
      </c>
      <c r="J138" s="45"/>
    </row>
    <row r="139" spans="1:10" ht="14.25" customHeight="1" x14ac:dyDescent="0.35">
      <c r="A139" s="32" t="s">
        <v>161</v>
      </c>
      <c r="B139" s="50">
        <v>100358100</v>
      </c>
      <c r="C139" s="33">
        <v>0</v>
      </c>
      <c r="D139" s="33">
        <v>0</v>
      </c>
      <c r="F139" s="48">
        <v>2022</v>
      </c>
      <c r="G139" s="47">
        <v>0</v>
      </c>
      <c r="H139" s="47">
        <v>0</v>
      </c>
      <c r="I139" s="47">
        <v>0</v>
      </c>
      <c r="J139" s="45"/>
    </row>
    <row r="140" spans="1:10" ht="14.25" customHeight="1" x14ac:dyDescent="0.35">
      <c r="A140" s="32" t="s">
        <v>162</v>
      </c>
      <c r="B140" s="50">
        <v>158746700</v>
      </c>
      <c r="C140" s="33">
        <v>0</v>
      </c>
      <c r="D140" s="33">
        <v>0</v>
      </c>
      <c r="F140" s="48">
        <v>2023</v>
      </c>
      <c r="G140" s="47">
        <v>0</v>
      </c>
      <c r="H140" s="47">
        <v>0</v>
      </c>
      <c r="I140" s="47">
        <v>0</v>
      </c>
      <c r="J140" s="45"/>
    </row>
    <row r="141" spans="1:10" ht="14.25" customHeight="1" x14ac:dyDescent="0.35">
      <c r="A141" s="64" t="s">
        <v>163</v>
      </c>
      <c r="B141" s="50">
        <v>39450600</v>
      </c>
      <c r="C141" s="33">
        <v>0</v>
      </c>
      <c r="D141" s="33">
        <v>0</v>
      </c>
      <c r="F141" s="48">
        <v>2024</v>
      </c>
      <c r="G141" s="47">
        <v>0</v>
      </c>
      <c r="H141" s="47">
        <v>0</v>
      </c>
      <c r="I141" s="47">
        <v>0</v>
      </c>
      <c r="J141" s="45"/>
    </row>
    <row r="142" spans="1:10" ht="14.25" customHeight="1" x14ac:dyDescent="0.35">
      <c r="A142" s="64" t="s">
        <v>164</v>
      </c>
      <c r="B142" s="50">
        <v>665001000</v>
      </c>
      <c r="C142" s="33">
        <v>0</v>
      </c>
      <c r="D142" s="33">
        <v>0</v>
      </c>
      <c r="F142" s="48">
        <v>2025</v>
      </c>
      <c r="G142" s="47">
        <v>0</v>
      </c>
      <c r="H142" s="47">
        <v>0</v>
      </c>
      <c r="I142" s="47">
        <v>0</v>
      </c>
      <c r="J142" s="45"/>
    </row>
    <row r="143" spans="1:10" ht="14.25" customHeight="1" x14ac:dyDescent="0.35">
      <c r="A143" s="32" t="s">
        <v>165</v>
      </c>
      <c r="B143" s="50">
        <v>36258800</v>
      </c>
      <c r="C143" s="33">
        <v>0</v>
      </c>
      <c r="D143" s="33">
        <v>0</v>
      </c>
      <c r="F143" s="48">
        <v>2026</v>
      </c>
      <c r="G143" s="47">
        <v>0</v>
      </c>
      <c r="H143" s="47">
        <v>0</v>
      </c>
      <c r="I143" s="47">
        <v>0</v>
      </c>
      <c r="J143" s="45"/>
    </row>
    <row r="144" spans="1:10" ht="14.25" customHeight="1" x14ac:dyDescent="0.35">
      <c r="A144" s="64" t="s">
        <v>166</v>
      </c>
      <c r="B144" s="50">
        <v>117798000</v>
      </c>
      <c r="C144" s="33">
        <v>0</v>
      </c>
      <c r="D144" s="33">
        <v>0</v>
      </c>
      <c r="F144" s="48">
        <v>2027</v>
      </c>
      <c r="G144" s="47">
        <v>0</v>
      </c>
      <c r="H144" s="47">
        <v>0</v>
      </c>
      <c r="I144" s="47">
        <v>0</v>
      </c>
      <c r="J144" s="45"/>
    </row>
    <row r="145" spans="1:10" ht="14.25" customHeight="1" x14ac:dyDescent="0.35">
      <c r="A145" s="32" t="s">
        <v>167</v>
      </c>
      <c r="B145" s="50">
        <v>12635100</v>
      </c>
      <c r="C145" s="33">
        <v>0</v>
      </c>
      <c r="D145" s="33">
        <v>0</v>
      </c>
      <c r="F145" s="48">
        <v>2028</v>
      </c>
      <c r="G145" s="47">
        <v>0</v>
      </c>
      <c r="H145" s="47">
        <v>0</v>
      </c>
      <c r="I145" s="47">
        <v>0</v>
      </c>
      <c r="J145" s="45"/>
    </row>
    <row r="146" spans="1:10" ht="14.25" customHeight="1" x14ac:dyDescent="0.35">
      <c r="A146" s="64" t="s">
        <v>168</v>
      </c>
      <c r="B146" s="50">
        <v>86848840</v>
      </c>
      <c r="C146" s="33">
        <v>0</v>
      </c>
      <c r="D146" s="33">
        <v>0</v>
      </c>
    </row>
    <row r="147" spans="1:10" ht="14.25" customHeight="1" x14ac:dyDescent="0.35">
      <c r="A147" s="64" t="s">
        <v>169</v>
      </c>
      <c r="B147" s="50">
        <v>23085000</v>
      </c>
      <c r="C147" s="33">
        <v>0</v>
      </c>
      <c r="D147" s="33">
        <v>0</v>
      </c>
    </row>
    <row r="148" spans="1:10" ht="14.25" customHeight="1" x14ac:dyDescent="0.35">
      <c r="A148" s="32" t="s">
        <v>170</v>
      </c>
      <c r="B148" s="65">
        <v>18314000</v>
      </c>
      <c r="C148" s="33">
        <v>0</v>
      </c>
      <c r="D148" s="33">
        <v>0</v>
      </c>
    </row>
    <row r="149" spans="1:10" ht="14.25" customHeight="1" x14ac:dyDescent="0.35">
      <c r="A149" s="64" t="s">
        <v>171</v>
      </c>
      <c r="B149" s="50">
        <v>7695000</v>
      </c>
      <c r="C149" s="33">
        <v>0</v>
      </c>
      <c r="D149" s="33">
        <v>0</v>
      </c>
    </row>
    <row r="150" spans="1:10" ht="14.25" customHeight="1" x14ac:dyDescent="0.35">
      <c r="A150" s="32" t="s">
        <v>172</v>
      </c>
      <c r="B150" s="50">
        <v>43092000</v>
      </c>
      <c r="C150" s="33">
        <v>0</v>
      </c>
      <c r="D150" s="33">
        <v>0</v>
      </c>
    </row>
    <row r="151" spans="1:10" ht="14.25" customHeight="1" x14ac:dyDescent="0.35">
      <c r="A151" s="32" t="s">
        <v>173</v>
      </c>
      <c r="B151" s="50">
        <v>113516000</v>
      </c>
      <c r="C151" s="33">
        <v>0</v>
      </c>
      <c r="D151" s="33">
        <v>0</v>
      </c>
    </row>
    <row r="152" spans="1:10" ht="14.25" customHeight="1" x14ac:dyDescent="0.35">
      <c r="A152" s="32"/>
      <c r="B152" s="33"/>
      <c r="C152" s="33"/>
      <c r="D152" s="33"/>
    </row>
    <row r="153" spans="1:10" ht="14.25" customHeight="1" x14ac:dyDescent="0.35">
      <c r="A153" s="32" t="s">
        <v>43</v>
      </c>
      <c r="B153" s="33"/>
      <c r="C153" s="32"/>
      <c r="D153" s="38"/>
    </row>
    <row r="154" spans="1:10" ht="14.25" customHeight="1" x14ac:dyDescent="0.35">
      <c r="A154" s="32"/>
      <c r="B154" s="33"/>
      <c r="C154" s="32"/>
      <c r="D154" s="38"/>
    </row>
    <row r="155" spans="1:10" ht="14.25" customHeight="1" x14ac:dyDescent="0.35">
      <c r="A155" s="32" t="s">
        <v>44</v>
      </c>
      <c r="B155" s="66">
        <v>0</v>
      </c>
      <c r="C155" s="33"/>
      <c r="D155" s="33">
        <v>0</v>
      </c>
    </row>
    <row r="156" spans="1:10" ht="14.25" customHeight="1" x14ac:dyDescent="0.35">
      <c r="A156" s="32" t="s">
        <v>45</v>
      </c>
      <c r="B156" s="66">
        <v>0</v>
      </c>
      <c r="C156" s="32"/>
      <c r="D156" s="33">
        <v>0</v>
      </c>
    </row>
    <row r="157" spans="1:10" ht="14.25" customHeight="1" x14ac:dyDescent="0.35">
      <c r="A157" s="32" t="s">
        <v>46</v>
      </c>
      <c r="B157" s="66">
        <v>0</v>
      </c>
      <c r="C157" s="32"/>
      <c r="D157" s="33">
        <v>0</v>
      </c>
    </row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A93:D93"/>
    <mergeCell ref="A11:E11"/>
    <mergeCell ref="A12:E12"/>
    <mergeCell ref="A13:E13"/>
    <mergeCell ref="A91:D91"/>
    <mergeCell ref="A92:D92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PETUNJUK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Sheet36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NELSI WISNA</dc:creator>
  <cp:lastModifiedBy>BILQIS NAILAH FAUZIYYAH</cp:lastModifiedBy>
  <dcterms:created xsi:type="dcterms:W3CDTF">2023-03-27T14:10:07Z</dcterms:created>
  <dcterms:modified xsi:type="dcterms:W3CDTF">2026-04-15T10:14:24Z</dcterms:modified>
</cp:coreProperties>
</file>